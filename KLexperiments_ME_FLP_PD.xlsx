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E3codeAI\"/>
    </mc:Choice>
  </mc:AlternateContent>
  <xr:revisionPtr revIDLastSave="0" documentId="13_ncr:1_{D7B52F4F-D1BF-418F-9291-7BA7D0E6B00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UN_info" sheetId="1" r:id="rId1"/>
    <sheet name="NK_params" sheetId="2" r:id="rId2"/>
    <sheet name="Shocks" sheetId="3" r:id="rId3"/>
    <sheet name="Replacement" sheetId="4" r:id="rId4"/>
    <sheet name="Loadings" sheetId="5" r:id="rId5"/>
    <sheet name="StartUp" sheetId="6" r:id="rId6"/>
    <sheet name="Loops" sheetId="7" r:id="rId7"/>
    <sheet name="Grids" sheetId="8" r:id="rId8"/>
    <sheet name="Accelerate" sheetId="9" r:id="rId9"/>
    <sheet name="Tuning" sheetId="10" r:id="rId10"/>
    <sheet name="File_Storag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3" l="1"/>
  <c r="C10" i="3"/>
  <c r="D9" i="3"/>
  <c r="C9" i="3"/>
  <c r="P28" i="2"/>
  <c r="P27" i="2"/>
  <c r="P26" i="2"/>
  <c r="P25" i="2"/>
  <c r="P24" i="2"/>
  <c r="P23" i="2"/>
  <c r="P22" i="2"/>
  <c r="P21" i="2"/>
  <c r="P20" i="2"/>
  <c r="P18" i="2"/>
  <c r="P16" i="2" l="1"/>
  <c r="D8" i="3"/>
  <c r="C8" i="3"/>
  <c r="D7" i="3"/>
  <c r="D6" i="3"/>
  <c r="C6" i="3"/>
  <c r="D5" i="3"/>
  <c r="C5" i="3"/>
  <c r="D4" i="3"/>
  <c r="C4" i="3"/>
  <c r="D3" i="3"/>
  <c r="E3" i="3" s="1"/>
  <c r="C3" i="3"/>
  <c r="E2" i="3"/>
  <c r="P15" i="2"/>
  <c r="P14" i="2"/>
  <c r="P12" i="2"/>
  <c r="I4" i="2"/>
</calcChain>
</file>

<file path=xl/sharedStrings.xml><?xml version="1.0" encoding="utf-8"?>
<sst xmlns="http://schemas.openxmlformats.org/spreadsheetml/2006/main" count="520" uniqueCount="175">
  <si>
    <t>run_number</t>
  </si>
  <si>
    <t>USER</t>
  </si>
  <si>
    <t>PLATFORM</t>
  </si>
  <si>
    <t>VARIANT</t>
  </si>
  <si>
    <t>ALTERNATIVE</t>
  </si>
  <si>
    <t>NK_params</t>
  </si>
  <si>
    <t>Shocks</t>
  </si>
  <si>
    <t>Replacement</t>
  </si>
  <si>
    <t>Loadings</t>
  </si>
  <si>
    <t>Startup</t>
  </si>
  <si>
    <t>Loops</t>
  </si>
  <si>
    <t>Grids</t>
  </si>
  <si>
    <t>Accelerate</t>
  </si>
  <si>
    <t>Tuning</t>
  </si>
  <si>
    <t>File Storage</t>
  </si>
  <si>
    <t>RK</t>
  </si>
  <si>
    <t>desktop</t>
  </si>
  <si>
    <t>endog_rho</t>
  </si>
  <si>
    <t>optimizing</t>
  </si>
  <si>
    <t>cluster</t>
  </si>
  <si>
    <t>YL</t>
  </si>
  <si>
    <t>exo_rho</t>
  </si>
  <si>
    <t>mechanical</t>
  </si>
  <si>
    <t>Case Style</t>
  </si>
  <si>
    <t>P1</t>
  </si>
  <si>
    <t>N1</t>
  </si>
  <si>
    <t>R1</t>
  </si>
  <si>
    <t>L1</t>
  </si>
  <si>
    <t>SU1</t>
  </si>
  <si>
    <t>LP1</t>
  </si>
  <si>
    <t>G1</t>
  </si>
  <si>
    <t>A1</t>
  </si>
  <si>
    <t>T1</t>
  </si>
  <si>
    <t>F1</t>
  </si>
  <si>
    <t>Case</t>
  </si>
  <si>
    <t>label</t>
  </si>
  <si>
    <t>vtheta_pi1</t>
  </si>
  <si>
    <t>vtheta_x1</t>
  </si>
  <si>
    <t>zetae1</t>
  </si>
  <si>
    <t>zetax1</t>
  </si>
  <si>
    <t>xstar1</t>
  </si>
  <si>
    <t>vtheta_pi2</t>
  </si>
  <si>
    <t>vtheta_x2</t>
  </si>
  <si>
    <t>zetae2</t>
  </si>
  <si>
    <t>zetax2</t>
  </si>
  <si>
    <t>xstar2</t>
  </si>
  <si>
    <t>bet1</t>
  </si>
  <si>
    <t>bet</t>
  </si>
  <si>
    <t>kappa</t>
  </si>
  <si>
    <t>pistar</t>
  </si>
  <si>
    <t>base</t>
  </si>
  <si>
    <t>P2</t>
  </si>
  <si>
    <t>high infl bias</t>
  </si>
  <si>
    <t>P3</t>
  </si>
  <si>
    <t>base but different u</t>
  </si>
  <si>
    <t>P4</t>
  </si>
  <si>
    <t>base but different xstar</t>
  </si>
  <si>
    <t>P5</t>
  </si>
  <si>
    <t>P6</t>
  </si>
  <si>
    <t>P7</t>
  </si>
  <si>
    <t>smaller kappa</t>
  </si>
  <si>
    <t>P8</t>
  </si>
  <si>
    <t>great inflation calib</t>
  </si>
  <si>
    <t>P9</t>
  </si>
  <si>
    <t>great inflation tiny infl bias</t>
  </si>
  <si>
    <t>P10</t>
  </si>
  <si>
    <t>great inflation tiny infl bias, x1*=0</t>
  </si>
  <si>
    <t>P11</t>
  </si>
  <si>
    <t>a variant of P8</t>
  </si>
  <si>
    <t>P12</t>
  </si>
  <si>
    <t>a variant of P11 with really small kappa</t>
  </si>
  <si>
    <t>P13</t>
  </si>
  <si>
    <t>a variant of P8 with pistar=1.0</t>
  </si>
  <si>
    <t>P14</t>
  </si>
  <si>
    <t>a variant of P8 with pistar=1.5</t>
  </si>
  <si>
    <t>dist</t>
  </si>
  <si>
    <t>sigma_1</t>
  </si>
  <si>
    <t>sigma_2</t>
  </si>
  <si>
    <t>qar</t>
  </si>
  <si>
    <t>S1</t>
  </si>
  <si>
    <t>normal</t>
  </si>
  <si>
    <t>S2</t>
  </si>
  <si>
    <t>S3</t>
  </si>
  <si>
    <t>S4</t>
  </si>
  <si>
    <t>S5</t>
  </si>
  <si>
    <t>S6</t>
  </si>
  <si>
    <t>S7</t>
  </si>
  <si>
    <t>inheritance</t>
  </si>
  <si>
    <t>rho_intercept_type</t>
  </si>
  <si>
    <t>rho_intercept</t>
  </si>
  <si>
    <t>rho_slope</t>
  </si>
  <si>
    <t>qq</t>
  </si>
  <si>
    <t>snap</t>
  </si>
  <si>
    <t>determininistic</t>
  </si>
  <si>
    <t>R2</t>
  </si>
  <si>
    <t>R3</t>
  </si>
  <si>
    <t>R4</t>
  </si>
  <si>
    <t>R5</t>
  </si>
  <si>
    <t>R6</t>
  </si>
  <si>
    <t>ivec</t>
  </si>
  <si>
    <t>xvec1</t>
  </si>
  <si>
    <t>xvec2</t>
  </si>
  <si>
    <t>LD1</t>
  </si>
  <si>
    <t>initial_z</t>
  </si>
  <si>
    <t>out_loop_max</t>
  </si>
  <si>
    <t>in_loop_max</t>
  </si>
  <si>
    <t>terminate_outer</t>
  </si>
  <si>
    <t>terminate_inner</t>
  </si>
  <si>
    <t>not yet coded</t>
  </si>
  <si>
    <t>LP2</t>
  </si>
  <si>
    <t>n_squig</t>
  </si>
  <si>
    <t>squig_nu</t>
  </si>
  <si>
    <t>squig_sd</t>
  </si>
  <si>
    <t>rho_version</t>
  </si>
  <si>
    <t>n_rho</t>
  </si>
  <si>
    <t>rho_break</t>
  </si>
  <si>
    <t>mu_version</t>
  </si>
  <si>
    <t>n_mu</t>
  </si>
  <si>
    <t>x_upper</t>
  </si>
  <si>
    <t>x_lower</t>
  </si>
  <si>
    <t>x_step</t>
  </si>
  <si>
    <t>n_mup</t>
  </si>
  <si>
    <t>mup_version</t>
  </si>
  <si>
    <t>n_delta</t>
  </si>
  <si>
    <t>nsd_delta</t>
  </si>
  <si>
    <t>n_eps</t>
  </si>
  <si>
    <t>nsd_eps</t>
  </si>
  <si>
    <t>equal</t>
  </si>
  <si>
    <t>gam_fx</t>
  </si>
  <si>
    <t>G2</t>
  </si>
  <si>
    <t>gam_fx_quad</t>
  </si>
  <si>
    <t>G3</t>
  </si>
  <si>
    <t>G4</t>
  </si>
  <si>
    <t>lowdense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</si>
  <si>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</si>
  <si>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</si>
  <si>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</si>
  <si>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</si>
  <si>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</si>
  <si>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</si>
  <si>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</si>
  <si>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</si>
  <si>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</si>
  <si>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</si>
  <si>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</si>
  <si>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go</t>
  </si>
  <si>
    <t>A2</t>
  </si>
  <si>
    <t>sav_opt</t>
  </si>
  <si>
    <t>P15</t>
  </si>
  <si>
    <t>a variant of P14 to match NEbias=8% exactly</t>
  </si>
  <si>
    <t>P16</t>
  </si>
  <si>
    <t>a variant of P15 with xstar1=xstar2</t>
  </si>
  <si>
    <t>P17</t>
  </si>
  <si>
    <t>a variant of P14 with xstar1=xstar2</t>
  </si>
  <si>
    <t>P18</t>
  </si>
  <si>
    <t>Bob new calibration may 2023</t>
  </si>
  <si>
    <t>G16</t>
  </si>
  <si>
    <t>P19</t>
  </si>
  <si>
    <t>a variant of P17 with lower vtheta_x1</t>
  </si>
  <si>
    <t>P20</t>
  </si>
  <si>
    <t>a variant of P17 with even lower vtheta_x1</t>
  </si>
  <si>
    <t>P21</t>
  </si>
  <si>
    <t>P22</t>
  </si>
  <si>
    <t>a variant of P17 with higher xstar</t>
  </si>
  <si>
    <t>P23</t>
  </si>
  <si>
    <t>P24</t>
  </si>
  <si>
    <t>a variant of P17 with even higher xstar</t>
  </si>
  <si>
    <t>a variant of P17 with even higher xstar and lower vtheta_x1</t>
  </si>
  <si>
    <t>P25</t>
  </si>
  <si>
    <t>a variant of P17 with lower kappa</t>
  </si>
  <si>
    <t>P26</t>
  </si>
  <si>
    <t>P27</t>
  </si>
  <si>
    <t>a variant of P17 with even higher vtheta_x1</t>
  </si>
  <si>
    <t>S8</t>
  </si>
  <si>
    <t>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</si>
</sst>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FF"/>
      <name val="Calibri"/>
      <family val="2"/>
      <charset val="1"/>
    </font>
    <font>
      <sz val="11"/>
      <color rgb="FF007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rgb="FFFF0000"/>
      <name val="Calibri"/>
      <family val="2"/>
    </font>
    <font>
      <sz val="11"/>
      <name val="Arial"/>
      <family val="2"/>
      <charset val="1"/>
    </font>
    <font>
      <sz val="11"/>
      <color rgb="FFC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BDBDB"/>
        <bgColor rgb="FFD6DCE5"/>
      </patternFill>
    </fill>
    <fill>
      <patternFill patternType="solid">
        <fgColor rgb="FFFFFF00"/>
        <bgColor rgb="FFFFFF00"/>
      </patternFill>
    </fill>
    <fill>
      <patternFill patternType="solid">
        <fgColor rgb="FFFBE5D6"/>
        <bgColor rgb="FFFFF2CC"/>
      </patternFill>
    </fill>
    <fill>
      <patternFill patternType="solid">
        <fgColor rgb="FFE2F0D9"/>
        <bgColor rgb="FFDEEBF7"/>
      </patternFill>
    </fill>
    <fill>
      <patternFill patternType="solid">
        <fgColor rgb="FFBDD7EE"/>
        <bgColor rgb="FFD6DCE5"/>
      </patternFill>
    </fill>
    <fill>
      <patternFill patternType="solid">
        <fgColor rgb="FFD6DCE5"/>
        <bgColor rgb="FFDBDBDB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theme="3" tint="0.59999389629810485"/>
        <bgColor rgb="FFFBE5D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BE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2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2" fillId="0" borderId="0" xfId="0" applyFont="1"/>
    <xf numFmtId="0" fontId="0" fillId="8" borderId="0" xfId="0" applyFill="1"/>
    <xf numFmtId="0" fontId="2" fillId="8" borderId="0" xfId="0" applyFont="1" applyFill="1"/>
    <xf numFmtId="0" fontId="1" fillId="8" borderId="0" xfId="0" applyFont="1" applyFill="1"/>
    <xf numFmtId="0" fontId="0" fillId="9" borderId="0" xfId="0" applyFill="1"/>
    <xf numFmtId="0" fontId="2" fillId="9" borderId="0" xfId="0" applyFont="1" applyFill="1"/>
    <xf numFmtId="0" fontId="1" fillId="9" borderId="0" xfId="0" applyFont="1" applyFill="1"/>
    <xf numFmtId="0" fontId="3" fillId="9" borderId="0" xfId="0" applyFont="1" applyFill="1"/>
    <xf numFmtId="0" fontId="2" fillId="3" borderId="0" xfId="0" applyFont="1" applyFill="1"/>
    <xf numFmtId="0" fontId="4" fillId="9" borderId="0" xfId="0" applyFont="1" applyFill="1"/>
    <xf numFmtId="0" fontId="5" fillId="0" borderId="0" xfId="0" applyFont="1"/>
    <xf numFmtId="17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2" fontId="0" fillId="0" borderId="0" xfId="0" applyNumberFormat="1"/>
    <xf numFmtId="0" fontId="0" fillId="10" borderId="0" xfId="0" applyFill="1"/>
    <xf numFmtId="0" fontId="4" fillId="10" borderId="0" xfId="0" applyFont="1" applyFill="1"/>
    <xf numFmtId="0" fontId="1" fillId="10" borderId="0" xfId="0" applyFont="1" applyFill="1"/>
    <xf numFmtId="0" fontId="0" fillId="11" borderId="0" xfId="0" applyFill="1"/>
    <xf numFmtId="0" fontId="9" fillId="10" borderId="0" xfId="0" applyFont="1" applyFill="1"/>
    <xf numFmtId="0" fontId="0" fillId="12" borderId="0" xfId="0" applyFill="1"/>
    <xf numFmtId="0" fontId="0" fillId="13" borderId="0" xfId="0" applyFill="1"/>
    <xf numFmtId="0" fontId="1" fillId="13" borderId="0" xfId="0" applyFont="1" applyFill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BDBDB"/>
      <rgbColor rgb="FF808080"/>
      <rgbColor rgb="FF9999FF"/>
      <rgbColor rgb="FF993366"/>
      <rgbColor rgb="FFFFF2CC"/>
      <rgbColor rgb="FFDEEBF7"/>
      <rgbColor rgb="FF660066"/>
      <rgbColor rgb="FFFF8080"/>
      <rgbColor rgb="FF007FFF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5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zoomScaleNormal="100" workbookViewId="0">
      <pane xSplit="1" ySplit="1" topLeftCell="B41" activePane="bottomRight" state="frozen"/>
      <selection pane="topRight" activeCell="B1" sqref="B1"/>
      <selection pane="bottomLeft" activeCell="A50" sqref="A50"/>
      <selection pane="bottomRight" activeCell="K73" sqref="K73"/>
    </sheetView>
  </sheetViews>
  <sheetFormatPr defaultRowHeight="15" x14ac:dyDescent="0.25"/>
  <cols>
    <col min="1" max="1" width="10.42578125" customWidth="1"/>
    <col min="2" max="3" width="8.7109375" customWidth="1"/>
    <col min="4" max="4" width="11.28515625" customWidth="1"/>
    <col min="5" max="5" width="8.7109375" customWidth="1"/>
    <col min="6" max="10" width="12" customWidth="1"/>
    <col min="11" max="1025" width="8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>
        <v>2</v>
      </c>
      <c r="B3" t="s">
        <v>15</v>
      </c>
      <c r="C3" t="s">
        <v>19</v>
      </c>
      <c r="D3" t="s">
        <v>17</v>
      </c>
      <c r="E3" t="s">
        <v>18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3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>
        <v>4</v>
      </c>
      <c r="B5" t="s">
        <v>20</v>
      </c>
      <c r="C5" t="s">
        <v>19</v>
      </c>
      <c r="D5" t="s">
        <v>17</v>
      </c>
      <c r="E5" t="s">
        <v>18</v>
      </c>
      <c r="F5">
        <v>4</v>
      </c>
      <c r="G5">
        <v>1</v>
      </c>
      <c r="H5">
        <v>1</v>
      </c>
      <c r="I5">
        <v>1</v>
      </c>
      <c r="J5">
        <v>1</v>
      </c>
      <c r="K5">
        <v>2</v>
      </c>
      <c r="L5">
        <v>1</v>
      </c>
      <c r="M5">
        <v>1</v>
      </c>
      <c r="N5">
        <v>1</v>
      </c>
      <c r="O5">
        <v>1</v>
      </c>
    </row>
    <row r="6" spans="1:15" x14ac:dyDescent="0.25">
      <c r="A6">
        <v>5</v>
      </c>
      <c r="B6" t="s">
        <v>20</v>
      </c>
      <c r="C6" t="s">
        <v>19</v>
      </c>
      <c r="D6" t="s">
        <v>21</v>
      </c>
      <c r="E6" t="s">
        <v>18</v>
      </c>
      <c r="F6">
        <v>4</v>
      </c>
      <c r="G6">
        <v>1</v>
      </c>
      <c r="H6">
        <v>1</v>
      </c>
      <c r="I6">
        <v>1</v>
      </c>
      <c r="J6">
        <v>1</v>
      </c>
      <c r="K6">
        <v>2</v>
      </c>
      <c r="L6">
        <v>1</v>
      </c>
      <c r="M6">
        <v>1</v>
      </c>
      <c r="N6">
        <v>1</v>
      </c>
      <c r="O6">
        <v>1</v>
      </c>
    </row>
    <row r="7" spans="1:15" x14ac:dyDescent="0.25">
      <c r="A7">
        <v>6</v>
      </c>
      <c r="B7" t="s">
        <v>20</v>
      </c>
      <c r="C7" t="s">
        <v>19</v>
      </c>
      <c r="D7" t="s">
        <v>21</v>
      </c>
      <c r="E7" t="s">
        <v>18</v>
      </c>
      <c r="F7">
        <v>4</v>
      </c>
      <c r="G7">
        <v>1</v>
      </c>
      <c r="H7">
        <v>1</v>
      </c>
      <c r="I7">
        <v>1</v>
      </c>
      <c r="J7">
        <v>1</v>
      </c>
      <c r="K7">
        <v>2</v>
      </c>
      <c r="L7">
        <v>1</v>
      </c>
      <c r="M7">
        <v>2</v>
      </c>
      <c r="N7">
        <v>1</v>
      </c>
      <c r="O7">
        <v>1</v>
      </c>
    </row>
    <row r="8" spans="1:15" x14ac:dyDescent="0.25">
      <c r="A8">
        <v>7</v>
      </c>
      <c r="B8" t="s">
        <v>20</v>
      </c>
      <c r="C8" t="s">
        <v>19</v>
      </c>
      <c r="D8" t="s">
        <v>17</v>
      </c>
      <c r="E8" t="s">
        <v>18</v>
      </c>
      <c r="F8">
        <v>4</v>
      </c>
      <c r="G8">
        <v>1</v>
      </c>
      <c r="H8">
        <v>1</v>
      </c>
      <c r="I8">
        <v>1</v>
      </c>
      <c r="J8">
        <v>1</v>
      </c>
      <c r="K8">
        <v>2</v>
      </c>
      <c r="L8">
        <v>1</v>
      </c>
      <c r="M8">
        <v>2</v>
      </c>
      <c r="N8">
        <v>1</v>
      </c>
      <c r="O8">
        <v>1</v>
      </c>
    </row>
    <row r="9" spans="1:15" x14ac:dyDescent="0.25">
      <c r="A9">
        <v>8</v>
      </c>
      <c r="B9" t="s">
        <v>20</v>
      </c>
      <c r="C9" t="s">
        <v>19</v>
      </c>
      <c r="D9" t="s">
        <v>21</v>
      </c>
      <c r="E9" t="s">
        <v>18</v>
      </c>
      <c r="F9">
        <v>4</v>
      </c>
      <c r="G9">
        <v>1</v>
      </c>
      <c r="H9" s="1">
        <v>3</v>
      </c>
      <c r="I9">
        <v>1</v>
      </c>
      <c r="J9">
        <v>1</v>
      </c>
      <c r="K9">
        <v>2</v>
      </c>
      <c r="L9">
        <v>1</v>
      </c>
      <c r="M9">
        <v>2</v>
      </c>
      <c r="N9">
        <v>1</v>
      </c>
      <c r="O9">
        <v>1</v>
      </c>
    </row>
    <row r="10" spans="1:15" x14ac:dyDescent="0.25">
      <c r="A10">
        <v>9</v>
      </c>
      <c r="B10" t="s">
        <v>20</v>
      </c>
      <c r="C10" t="s">
        <v>19</v>
      </c>
      <c r="D10" t="s">
        <v>21</v>
      </c>
      <c r="E10" t="s">
        <v>18</v>
      </c>
      <c r="F10">
        <v>4</v>
      </c>
      <c r="G10">
        <v>1</v>
      </c>
      <c r="H10">
        <v>1</v>
      </c>
      <c r="I10">
        <v>1</v>
      </c>
      <c r="J10">
        <v>1</v>
      </c>
      <c r="K10">
        <v>2</v>
      </c>
      <c r="L10" s="1">
        <v>3</v>
      </c>
      <c r="M10">
        <v>2</v>
      </c>
      <c r="N10">
        <v>1</v>
      </c>
      <c r="O10">
        <v>1</v>
      </c>
    </row>
    <row r="11" spans="1:15" x14ac:dyDescent="0.25">
      <c r="A11">
        <v>10</v>
      </c>
      <c r="B11" t="s">
        <v>20</v>
      </c>
      <c r="C11" t="s">
        <v>19</v>
      </c>
      <c r="D11" t="s">
        <v>21</v>
      </c>
      <c r="E11" t="s">
        <v>18</v>
      </c>
      <c r="F11">
        <v>4</v>
      </c>
      <c r="G11">
        <v>1</v>
      </c>
      <c r="H11">
        <v>1</v>
      </c>
      <c r="I11">
        <v>1</v>
      </c>
      <c r="J11">
        <v>1</v>
      </c>
      <c r="K11">
        <v>2</v>
      </c>
      <c r="L11" s="1">
        <v>4</v>
      </c>
      <c r="M11">
        <v>2</v>
      </c>
      <c r="N11">
        <v>1</v>
      </c>
      <c r="O11">
        <v>1</v>
      </c>
    </row>
    <row r="12" spans="1:15" x14ac:dyDescent="0.25">
      <c r="A12">
        <v>11</v>
      </c>
      <c r="B12" t="s">
        <v>20</v>
      </c>
      <c r="C12" t="s">
        <v>19</v>
      </c>
      <c r="D12" t="s">
        <v>17</v>
      </c>
      <c r="E12" t="s">
        <v>18</v>
      </c>
      <c r="F12">
        <v>4</v>
      </c>
      <c r="G12">
        <v>1</v>
      </c>
      <c r="H12">
        <v>1</v>
      </c>
      <c r="I12">
        <v>1</v>
      </c>
      <c r="J12">
        <v>1</v>
      </c>
      <c r="K12">
        <v>2</v>
      </c>
      <c r="L12" s="1">
        <v>4</v>
      </c>
      <c r="M12">
        <v>2</v>
      </c>
      <c r="N12">
        <v>1</v>
      </c>
      <c r="O12">
        <v>1</v>
      </c>
    </row>
    <row r="13" spans="1:15" x14ac:dyDescent="0.25">
      <c r="A13">
        <v>12</v>
      </c>
      <c r="B13" t="s">
        <v>20</v>
      </c>
      <c r="C13" t="s">
        <v>19</v>
      </c>
      <c r="D13" t="s">
        <v>17</v>
      </c>
      <c r="E13" t="s">
        <v>22</v>
      </c>
      <c r="F13">
        <v>4</v>
      </c>
      <c r="G13">
        <v>1</v>
      </c>
      <c r="H13">
        <v>1</v>
      </c>
      <c r="I13">
        <v>1</v>
      </c>
      <c r="J13">
        <v>1</v>
      </c>
      <c r="K13">
        <v>2</v>
      </c>
      <c r="L13" s="1">
        <v>4</v>
      </c>
      <c r="M13">
        <v>2</v>
      </c>
      <c r="N13">
        <v>1</v>
      </c>
      <c r="O13">
        <v>1</v>
      </c>
    </row>
    <row r="14" spans="1:15" s="2" customFormat="1" x14ac:dyDescent="0.25">
      <c r="A14" s="2">
        <v>13</v>
      </c>
      <c r="B14" s="2" t="s">
        <v>20</v>
      </c>
      <c r="C14" s="2" t="s">
        <v>19</v>
      </c>
      <c r="D14" s="2" t="s">
        <v>17</v>
      </c>
      <c r="E14" s="2" t="s">
        <v>18</v>
      </c>
      <c r="F14" s="2">
        <v>5</v>
      </c>
      <c r="G14" s="2">
        <v>1</v>
      </c>
      <c r="H14" s="2">
        <v>1</v>
      </c>
      <c r="I14" s="2">
        <v>1</v>
      </c>
      <c r="J14" s="2">
        <v>1</v>
      </c>
      <c r="K14" s="2">
        <v>2</v>
      </c>
      <c r="L14" s="3">
        <v>4</v>
      </c>
      <c r="M14" s="2">
        <v>2</v>
      </c>
      <c r="N14" s="2">
        <v>1</v>
      </c>
      <c r="O14" s="2">
        <v>1</v>
      </c>
    </row>
    <row r="15" spans="1:15" s="2" customFormat="1" x14ac:dyDescent="0.25">
      <c r="A15" s="2">
        <v>14</v>
      </c>
      <c r="B15" s="2" t="s">
        <v>20</v>
      </c>
      <c r="C15" s="2" t="s">
        <v>19</v>
      </c>
      <c r="D15" s="2" t="s">
        <v>17</v>
      </c>
      <c r="E15" s="2" t="s">
        <v>22</v>
      </c>
      <c r="F15" s="2">
        <v>5</v>
      </c>
      <c r="G15" s="2">
        <v>1</v>
      </c>
      <c r="H15" s="2">
        <v>1</v>
      </c>
      <c r="I15" s="2">
        <v>1</v>
      </c>
      <c r="J15" s="2">
        <v>1</v>
      </c>
      <c r="K15" s="2">
        <v>2</v>
      </c>
      <c r="L15" s="3">
        <v>4</v>
      </c>
      <c r="M15" s="2">
        <v>2</v>
      </c>
      <c r="N15" s="2">
        <v>1</v>
      </c>
      <c r="O15" s="2">
        <v>1</v>
      </c>
    </row>
    <row r="16" spans="1:15" s="2" customFormat="1" x14ac:dyDescent="0.25">
      <c r="A16" s="2">
        <v>15</v>
      </c>
      <c r="B16" s="2" t="s">
        <v>20</v>
      </c>
      <c r="C16" s="2" t="s">
        <v>19</v>
      </c>
      <c r="D16" s="2" t="s">
        <v>21</v>
      </c>
      <c r="E16" s="2" t="s">
        <v>18</v>
      </c>
      <c r="F16" s="2">
        <v>5</v>
      </c>
      <c r="G16" s="2">
        <v>1</v>
      </c>
      <c r="H16" s="2">
        <v>1</v>
      </c>
      <c r="I16" s="2">
        <v>1</v>
      </c>
      <c r="J16" s="2">
        <v>1</v>
      </c>
      <c r="K16" s="2">
        <v>2</v>
      </c>
      <c r="L16" s="3">
        <v>4</v>
      </c>
      <c r="M16" s="2">
        <v>2</v>
      </c>
      <c r="N16" s="2">
        <v>1</v>
      </c>
      <c r="O16" s="2">
        <v>1</v>
      </c>
    </row>
    <row r="17" spans="1:15" s="4" customFormat="1" x14ac:dyDescent="0.25">
      <c r="A17" s="4">
        <v>16</v>
      </c>
      <c r="B17" s="4" t="s">
        <v>20</v>
      </c>
      <c r="C17" s="4" t="s">
        <v>19</v>
      </c>
      <c r="D17" s="4" t="s">
        <v>17</v>
      </c>
      <c r="E17" s="4" t="s">
        <v>18</v>
      </c>
      <c r="F17" s="4">
        <v>6</v>
      </c>
      <c r="G17" s="4">
        <v>1</v>
      </c>
      <c r="H17" s="4">
        <v>1</v>
      </c>
      <c r="I17" s="4">
        <v>1</v>
      </c>
      <c r="J17" s="4">
        <v>1</v>
      </c>
      <c r="K17" s="4">
        <v>2</v>
      </c>
      <c r="L17" s="5">
        <v>4</v>
      </c>
      <c r="M17" s="4">
        <v>2</v>
      </c>
      <c r="N17" s="4">
        <v>1</v>
      </c>
      <c r="O17" s="4">
        <v>1</v>
      </c>
    </row>
    <row r="18" spans="1:15" s="4" customFormat="1" x14ac:dyDescent="0.25">
      <c r="A18" s="4">
        <v>17</v>
      </c>
      <c r="B18" s="4" t="s">
        <v>20</v>
      </c>
      <c r="C18" s="4" t="s">
        <v>19</v>
      </c>
      <c r="D18" s="4" t="s">
        <v>17</v>
      </c>
      <c r="E18" s="4" t="s">
        <v>22</v>
      </c>
      <c r="F18" s="4">
        <v>6</v>
      </c>
      <c r="G18" s="4">
        <v>1</v>
      </c>
      <c r="H18" s="4">
        <v>1</v>
      </c>
      <c r="I18" s="4">
        <v>1</v>
      </c>
      <c r="J18" s="4">
        <v>1</v>
      </c>
      <c r="K18" s="4">
        <v>2</v>
      </c>
      <c r="L18" s="5">
        <v>4</v>
      </c>
      <c r="M18" s="4">
        <v>2</v>
      </c>
      <c r="N18" s="4">
        <v>1</v>
      </c>
      <c r="O18" s="4">
        <v>1</v>
      </c>
    </row>
    <row r="19" spans="1:15" x14ac:dyDescent="0.25">
      <c r="A19">
        <v>18</v>
      </c>
      <c r="B19" t="s">
        <v>15</v>
      </c>
      <c r="C19" t="s">
        <v>19</v>
      </c>
      <c r="D19" t="s">
        <v>17</v>
      </c>
      <c r="E19" t="s">
        <v>22</v>
      </c>
      <c r="F19">
        <v>7</v>
      </c>
      <c r="G19">
        <v>1</v>
      </c>
      <c r="H19">
        <v>1</v>
      </c>
      <c r="I19">
        <v>1</v>
      </c>
      <c r="J19">
        <v>1</v>
      </c>
      <c r="K19">
        <v>2</v>
      </c>
      <c r="L19" s="1">
        <v>4</v>
      </c>
      <c r="M19">
        <v>2</v>
      </c>
      <c r="N19">
        <v>1</v>
      </c>
      <c r="O19">
        <v>1</v>
      </c>
    </row>
    <row r="20" spans="1:15" s="6" customFormat="1" x14ac:dyDescent="0.25">
      <c r="A20" s="6">
        <v>19</v>
      </c>
      <c r="B20" s="6" t="s">
        <v>20</v>
      </c>
      <c r="C20" s="6" t="s">
        <v>19</v>
      </c>
      <c r="D20" s="6" t="s">
        <v>17</v>
      </c>
      <c r="E20" s="6" t="s">
        <v>18</v>
      </c>
      <c r="F20" s="6">
        <v>7</v>
      </c>
      <c r="G20" s="6">
        <v>1</v>
      </c>
      <c r="H20" s="6">
        <v>1</v>
      </c>
      <c r="I20" s="6">
        <v>1</v>
      </c>
      <c r="J20" s="6">
        <v>1</v>
      </c>
      <c r="K20" s="6">
        <v>2</v>
      </c>
      <c r="L20" s="7">
        <v>4</v>
      </c>
      <c r="M20" s="6">
        <v>2</v>
      </c>
      <c r="N20" s="6">
        <v>1</v>
      </c>
      <c r="O20" s="6">
        <v>1</v>
      </c>
    </row>
    <row r="21" spans="1:15" x14ac:dyDescent="0.25">
      <c r="A21">
        <v>20</v>
      </c>
      <c r="B21" t="s">
        <v>20</v>
      </c>
      <c r="C21" t="s">
        <v>19</v>
      </c>
      <c r="D21" t="s">
        <v>17</v>
      </c>
      <c r="E21" t="s">
        <v>18</v>
      </c>
      <c r="F21">
        <v>7</v>
      </c>
      <c r="G21">
        <v>1</v>
      </c>
      <c r="H21">
        <v>1</v>
      </c>
      <c r="I21">
        <v>1</v>
      </c>
      <c r="J21">
        <v>1</v>
      </c>
      <c r="K21">
        <v>2</v>
      </c>
      <c r="L21" s="1">
        <v>5</v>
      </c>
      <c r="M21">
        <v>2</v>
      </c>
      <c r="N21">
        <v>1</v>
      </c>
      <c r="O21">
        <v>1</v>
      </c>
    </row>
    <row r="22" spans="1:15" s="6" customFormat="1" x14ac:dyDescent="0.25">
      <c r="A22" s="6">
        <v>21</v>
      </c>
      <c r="B22" s="6" t="s">
        <v>20</v>
      </c>
      <c r="C22" s="6" t="s">
        <v>19</v>
      </c>
      <c r="D22" s="6" t="s">
        <v>17</v>
      </c>
      <c r="E22" s="6" t="s">
        <v>22</v>
      </c>
      <c r="F22" s="6">
        <v>7</v>
      </c>
      <c r="G22" s="6">
        <v>1</v>
      </c>
      <c r="H22" s="6">
        <v>1</v>
      </c>
      <c r="I22" s="6">
        <v>1</v>
      </c>
      <c r="J22" s="6">
        <v>1</v>
      </c>
      <c r="K22" s="6">
        <v>2</v>
      </c>
      <c r="L22" s="7">
        <v>4</v>
      </c>
      <c r="M22" s="6">
        <v>2</v>
      </c>
      <c r="N22" s="6">
        <v>1</v>
      </c>
      <c r="O22" s="6">
        <v>1</v>
      </c>
    </row>
    <row r="23" spans="1:15" s="8" customFormat="1" x14ac:dyDescent="0.25">
      <c r="A23" s="8">
        <v>22</v>
      </c>
      <c r="B23" s="8" t="s">
        <v>20</v>
      </c>
      <c r="C23" s="8" t="s">
        <v>19</v>
      </c>
      <c r="D23" s="8" t="s">
        <v>17</v>
      </c>
      <c r="E23" s="8" t="s">
        <v>18</v>
      </c>
      <c r="F23" s="9">
        <v>8</v>
      </c>
      <c r="G23" s="8">
        <v>1</v>
      </c>
      <c r="H23" s="8">
        <v>1</v>
      </c>
      <c r="I23" s="8">
        <v>1</v>
      </c>
      <c r="J23" s="8">
        <v>1</v>
      </c>
      <c r="K23" s="8">
        <v>2</v>
      </c>
      <c r="L23" s="10">
        <v>5</v>
      </c>
      <c r="M23" s="8">
        <v>2</v>
      </c>
      <c r="N23" s="8">
        <v>1</v>
      </c>
      <c r="O23" s="8">
        <v>1</v>
      </c>
    </row>
    <row r="24" spans="1:15" s="11" customFormat="1" x14ac:dyDescent="0.25">
      <c r="A24" s="11">
        <v>23</v>
      </c>
      <c r="B24" s="11" t="s">
        <v>20</v>
      </c>
      <c r="C24" s="11" t="s">
        <v>19</v>
      </c>
      <c r="D24" s="11" t="s">
        <v>17</v>
      </c>
      <c r="E24" s="11" t="s">
        <v>18</v>
      </c>
      <c r="F24" s="12">
        <v>8</v>
      </c>
      <c r="G24" s="11">
        <v>1</v>
      </c>
      <c r="H24" s="11">
        <v>1</v>
      </c>
      <c r="I24" s="11">
        <v>1</v>
      </c>
      <c r="J24" s="11">
        <v>1</v>
      </c>
      <c r="K24" s="11">
        <v>2</v>
      </c>
      <c r="L24" s="12">
        <v>6</v>
      </c>
      <c r="M24" s="11">
        <v>2</v>
      </c>
      <c r="N24" s="11">
        <v>1</v>
      </c>
      <c r="O24" s="11">
        <v>1</v>
      </c>
    </row>
    <row r="25" spans="1:15" s="11" customFormat="1" x14ac:dyDescent="0.25">
      <c r="A25" s="11">
        <v>24</v>
      </c>
      <c r="B25" s="11" t="s">
        <v>20</v>
      </c>
      <c r="C25" s="11" t="s">
        <v>19</v>
      </c>
      <c r="D25" s="11" t="s">
        <v>17</v>
      </c>
      <c r="E25" s="11" t="s">
        <v>22</v>
      </c>
      <c r="F25" s="12">
        <v>8</v>
      </c>
      <c r="G25" s="11">
        <v>1</v>
      </c>
      <c r="H25" s="11">
        <v>1</v>
      </c>
      <c r="I25" s="11">
        <v>1</v>
      </c>
      <c r="J25" s="11">
        <v>1</v>
      </c>
      <c r="K25" s="11">
        <v>2</v>
      </c>
      <c r="L25" s="12">
        <v>7</v>
      </c>
      <c r="M25" s="11">
        <v>2</v>
      </c>
      <c r="N25" s="11">
        <v>1</v>
      </c>
      <c r="O25" s="11">
        <v>1</v>
      </c>
    </row>
    <row r="26" spans="1:15" s="8" customFormat="1" x14ac:dyDescent="0.25">
      <c r="A26" s="8">
        <v>25</v>
      </c>
      <c r="B26" s="8" t="s">
        <v>20</v>
      </c>
      <c r="C26" s="8" t="s">
        <v>19</v>
      </c>
      <c r="D26" s="8" t="s">
        <v>17</v>
      </c>
      <c r="E26" s="8" t="s">
        <v>22</v>
      </c>
      <c r="F26" s="9">
        <v>8</v>
      </c>
      <c r="G26" s="8">
        <v>1</v>
      </c>
      <c r="H26" s="8">
        <v>1</v>
      </c>
      <c r="I26" s="8">
        <v>1</v>
      </c>
      <c r="J26" s="8">
        <v>1</v>
      </c>
      <c r="K26" s="8">
        <v>2</v>
      </c>
      <c r="L26" s="9">
        <v>5</v>
      </c>
      <c r="M26" s="8">
        <v>2</v>
      </c>
      <c r="N26" s="8">
        <v>1</v>
      </c>
      <c r="O26" s="8">
        <v>1</v>
      </c>
    </row>
    <row r="27" spans="1:15" x14ac:dyDescent="0.25">
      <c r="A27">
        <v>26</v>
      </c>
      <c r="B27" t="s">
        <v>20</v>
      </c>
      <c r="C27" t="s">
        <v>19</v>
      </c>
      <c r="D27" t="s">
        <v>17</v>
      </c>
      <c r="E27" t="s">
        <v>18</v>
      </c>
      <c r="F27" s="1">
        <v>8</v>
      </c>
      <c r="G27">
        <v>1</v>
      </c>
      <c r="H27">
        <v>1</v>
      </c>
      <c r="I27">
        <v>1</v>
      </c>
      <c r="J27">
        <v>1</v>
      </c>
      <c r="K27">
        <v>2</v>
      </c>
      <c r="L27" s="1">
        <v>8</v>
      </c>
      <c r="M27">
        <v>2</v>
      </c>
      <c r="N27">
        <v>1</v>
      </c>
      <c r="O27">
        <v>1</v>
      </c>
    </row>
    <row r="28" spans="1:15" x14ac:dyDescent="0.25">
      <c r="A28">
        <v>27</v>
      </c>
      <c r="B28" t="s">
        <v>20</v>
      </c>
      <c r="C28" t="s">
        <v>19</v>
      </c>
      <c r="D28" t="s">
        <v>17</v>
      </c>
      <c r="E28" t="s">
        <v>18</v>
      </c>
      <c r="F28" s="1">
        <v>8</v>
      </c>
      <c r="G28">
        <v>1</v>
      </c>
      <c r="H28">
        <v>1</v>
      </c>
      <c r="I28">
        <v>1</v>
      </c>
      <c r="J28">
        <v>1</v>
      </c>
      <c r="K28">
        <v>2</v>
      </c>
      <c r="L28" s="1">
        <v>9</v>
      </c>
      <c r="M28">
        <v>2</v>
      </c>
      <c r="N28">
        <v>1</v>
      </c>
      <c r="O28">
        <v>1</v>
      </c>
    </row>
    <row r="29" spans="1:15" s="13" customFormat="1" x14ac:dyDescent="0.25">
      <c r="A29" s="13">
        <v>28</v>
      </c>
      <c r="B29" s="13" t="s">
        <v>20</v>
      </c>
      <c r="C29" s="13" t="s">
        <v>19</v>
      </c>
      <c r="D29" s="13" t="s">
        <v>17</v>
      </c>
      <c r="E29" s="13" t="s">
        <v>18</v>
      </c>
      <c r="F29" s="14">
        <v>8</v>
      </c>
      <c r="G29" s="13">
        <v>1</v>
      </c>
      <c r="H29" s="13">
        <v>1</v>
      </c>
      <c r="I29" s="13">
        <v>1</v>
      </c>
      <c r="J29" s="13">
        <v>1</v>
      </c>
      <c r="K29" s="13">
        <v>2</v>
      </c>
      <c r="L29" s="14">
        <v>10</v>
      </c>
      <c r="M29" s="13">
        <v>2</v>
      </c>
      <c r="N29" s="13">
        <v>1</v>
      </c>
      <c r="O29" s="13">
        <v>1</v>
      </c>
    </row>
    <row r="30" spans="1:15" s="13" customFormat="1" x14ac:dyDescent="0.25">
      <c r="A30" s="13">
        <v>29</v>
      </c>
      <c r="B30" s="13" t="s">
        <v>20</v>
      </c>
      <c r="C30" s="13" t="s">
        <v>19</v>
      </c>
      <c r="D30" s="13" t="s">
        <v>17</v>
      </c>
      <c r="E30" s="13" t="s">
        <v>22</v>
      </c>
      <c r="F30" s="14">
        <v>8</v>
      </c>
      <c r="G30" s="13">
        <v>1</v>
      </c>
      <c r="H30" s="13">
        <v>1</v>
      </c>
      <c r="I30" s="13">
        <v>1</v>
      </c>
      <c r="J30" s="13">
        <v>1</v>
      </c>
      <c r="K30" s="13">
        <v>2</v>
      </c>
      <c r="L30" s="14">
        <v>10</v>
      </c>
      <c r="M30" s="13">
        <v>2</v>
      </c>
      <c r="N30" s="13">
        <v>1</v>
      </c>
      <c r="O30" s="13">
        <v>1</v>
      </c>
    </row>
    <row r="31" spans="1:15" x14ac:dyDescent="0.25">
      <c r="A31">
        <v>30</v>
      </c>
      <c r="B31" t="s">
        <v>20</v>
      </c>
      <c r="C31" t="s">
        <v>19</v>
      </c>
      <c r="D31" t="s">
        <v>17</v>
      </c>
      <c r="E31" t="s">
        <v>18</v>
      </c>
      <c r="F31" s="1">
        <v>8</v>
      </c>
      <c r="G31">
        <v>1</v>
      </c>
      <c r="H31">
        <v>1</v>
      </c>
      <c r="I31">
        <v>1</v>
      </c>
      <c r="J31">
        <v>1</v>
      </c>
      <c r="K31">
        <v>2</v>
      </c>
      <c r="L31" s="1">
        <v>11</v>
      </c>
      <c r="M31">
        <v>2</v>
      </c>
      <c r="N31">
        <v>1</v>
      </c>
      <c r="O31">
        <v>1</v>
      </c>
    </row>
    <row r="32" spans="1:15" x14ac:dyDescent="0.25">
      <c r="A32">
        <v>31</v>
      </c>
      <c r="B32" t="s">
        <v>20</v>
      </c>
      <c r="C32" t="s">
        <v>19</v>
      </c>
      <c r="D32" t="s">
        <v>17</v>
      </c>
      <c r="E32" t="s">
        <v>18</v>
      </c>
      <c r="F32" s="1">
        <v>8</v>
      </c>
      <c r="G32">
        <v>1</v>
      </c>
      <c r="H32">
        <v>1</v>
      </c>
      <c r="I32">
        <v>1</v>
      </c>
      <c r="J32">
        <v>1</v>
      </c>
      <c r="K32">
        <v>2</v>
      </c>
      <c r="L32" s="1">
        <v>12</v>
      </c>
      <c r="M32">
        <v>2</v>
      </c>
      <c r="N32">
        <v>1</v>
      </c>
      <c r="O32">
        <v>1</v>
      </c>
    </row>
    <row r="33" spans="1:15" x14ac:dyDescent="0.25">
      <c r="A33">
        <v>32</v>
      </c>
      <c r="B33" t="s">
        <v>20</v>
      </c>
      <c r="C33" t="s">
        <v>19</v>
      </c>
      <c r="D33" t="s">
        <v>17</v>
      </c>
      <c r="E33" t="s">
        <v>18</v>
      </c>
      <c r="F33" s="1">
        <v>8</v>
      </c>
      <c r="G33">
        <v>2</v>
      </c>
      <c r="H33">
        <v>1</v>
      </c>
      <c r="I33">
        <v>1</v>
      </c>
      <c r="J33">
        <v>1</v>
      </c>
      <c r="K33">
        <v>2</v>
      </c>
      <c r="L33" s="1">
        <v>10</v>
      </c>
      <c r="M33">
        <v>2</v>
      </c>
      <c r="N33">
        <v>1</v>
      </c>
      <c r="O33">
        <v>1</v>
      </c>
    </row>
    <row r="34" spans="1:15" x14ac:dyDescent="0.25">
      <c r="A34">
        <v>33</v>
      </c>
      <c r="B34" t="s">
        <v>20</v>
      </c>
      <c r="C34" t="s">
        <v>19</v>
      </c>
      <c r="D34" t="s">
        <v>17</v>
      </c>
      <c r="E34" t="s">
        <v>18</v>
      </c>
      <c r="F34" s="1">
        <v>9</v>
      </c>
      <c r="G34">
        <v>2</v>
      </c>
      <c r="H34">
        <v>1</v>
      </c>
      <c r="I34">
        <v>1</v>
      </c>
      <c r="J34">
        <v>1</v>
      </c>
      <c r="K34">
        <v>2</v>
      </c>
      <c r="L34" s="15">
        <v>10</v>
      </c>
      <c r="M34">
        <v>2</v>
      </c>
      <c r="N34">
        <v>1</v>
      </c>
      <c r="O34">
        <v>1</v>
      </c>
    </row>
    <row r="35" spans="1:15" x14ac:dyDescent="0.25">
      <c r="A35">
        <v>34</v>
      </c>
      <c r="B35" t="s">
        <v>20</v>
      </c>
      <c r="C35" t="s">
        <v>19</v>
      </c>
      <c r="D35" t="s">
        <v>17</v>
      </c>
      <c r="E35" t="s">
        <v>18</v>
      </c>
      <c r="F35" s="1">
        <v>10</v>
      </c>
      <c r="G35">
        <v>2</v>
      </c>
      <c r="H35">
        <v>1</v>
      </c>
      <c r="I35">
        <v>1</v>
      </c>
      <c r="J35">
        <v>1</v>
      </c>
      <c r="K35">
        <v>2</v>
      </c>
      <c r="L35" s="15">
        <v>10</v>
      </c>
      <c r="M35">
        <v>2</v>
      </c>
      <c r="N35">
        <v>1</v>
      </c>
      <c r="O35">
        <v>1</v>
      </c>
    </row>
    <row r="36" spans="1:15" x14ac:dyDescent="0.25">
      <c r="A36">
        <v>35</v>
      </c>
      <c r="B36" t="s">
        <v>20</v>
      </c>
      <c r="C36" t="s">
        <v>19</v>
      </c>
      <c r="D36" t="s">
        <v>17</v>
      </c>
      <c r="E36" t="s">
        <v>18</v>
      </c>
      <c r="F36" s="1">
        <v>11</v>
      </c>
      <c r="G36" s="1">
        <v>3</v>
      </c>
      <c r="H36">
        <v>1</v>
      </c>
      <c r="I36">
        <v>1</v>
      </c>
      <c r="J36">
        <v>1</v>
      </c>
      <c r="K36">
        <v>2</v>
      </c>
      <c r="L36" s="15">
        <v>10</v>
      </c>
      <c r="M36">
        <v>2</v>
      </c>
      <c r="N36">
        <v>1</v>
      </c>
      <c r="O36">
        <v>1</v>
      </c>
    </row>
    <row r="37" spans="1:15" x14ac:dyDescent="0.25">
      <c r="A37">
        <v>36</v>
      </c>
      <c r="B37" t="s">
        <v>20</v>
      </c>
      <c r="C37" t="s">
        <v>19</v>
      </c>
      <c r="D37" t="s">
        <v>17</v>
      </c>
      <c r="E37" t="s">
        <v>18</v>
      </c>
      <c r="F37" s="15">
        <v>11</v>
      </c>
      <c r="G37" s="1">
        <v>4</v>
      </c>
      <c r="H37">
        <v>1</v>
      </c>
      <c r="I37">
        <v>1</v>
      </c>
      <c r="J37">
        <v>1</v>
      </c>
      <c r="K37">
        <v>2</v>
      </c>
      <c r="L37" s="15">
        <v>10</v>
      </c>
      <c r="M37">
        <v>2</v>
      </c>
      <c r="N37">
        <v>1</v>
      </c>
      <c r="O37">
        <v>1</v>
      </c>
    </row>
    <row r="38" spans="1:15" s="16" customFormat="1" x14ac:dyDescent="0.25">
      <c r="A38" s="16">
        <v>37</v>
      </c>
      <c r="B38" s="16" t="s">
        <v>20</v>
      </c>
      <c r="C38" s="16" t="s">
        <v>19</v>
      </c>
      <c r="D38" s="16" t="s">
        <v>17</v>
      </c>
      <c r="E38" s="16" t="s">
        <v>18</v>
      </c>
      <c r="F38" s="17">
        <v>11</v>
      </c>
      <c r="G38" s="18">
        <v>5</v>
      </c>
      <c r="H38" s="16">
        <v>1</v>
      </c>
      <c r="I38" s="16">
        <v>1</v>
      </c>
      <c r="J38" s="16">
        <v>1</v>
      </c>
      <c r="K38" s="16">
        <v>2</v>
      </c>
      <c r="L38" s="17">
        <v>10</v>
      </c>
      <c r="M38" s="16">
        <v>2</v>
      </c>
      <c r="N38" s="16">
        <v>1</v>
      </c>
      <c r="O38" s="16">
        <v>1</v>
      </c>
    </row>
    <row r="39" spans="1:15" x14ac:dyDescent="0.25">
      <c r="A39">
        <v>38</v>
      </c>
      <c r="B39" t="s">
        <v>20</v>
      </c>
      <c r="C39" t="s">
        <v>19</v>
      </c>
      <c r="D39" t="s">
        <v>17</v>
      </c>
      <c r="E39" t="s">
        <v>18</v>
      </c>
      <c r="F39" s="15">
        <v>11</v>
      </c>
      <c r="G39" s="1">
        <v>6</v>
      </c>
      <c r="H39">
        <v>1</v>
      </c>
      <c r="I39">
        <v>1</v>
      </c>
      <c r="J39">
        <v>1</v>
      </c>
      <c r="K39">
        <v>2</v>
      </c>
      <c r="L39" s="15">
        <v>10</v>
      </c>
      <c r="M39">
        <v>2</v>
      </c>
      <c r="N39">
        <v>1</v>
      </c>
      <c r="O39">
        <v>1</v>
      </c>
    </row>
    <row r="40" spans="1:15" s="16" customFormat="1" x14ac:dyDescent="0.25">
      <c r="A40" s="16">
        <v>39</v>
      </c>
      <c r="B40" s="16" t="s">
        <v>20</v>
      </c>
      <c r="C40" s="16" t="s">
        <v>19</v>
      </c>
      <c r="D40" s="16" t="s">
        <v>17</v>
      </c>
      <c r="E40" s="16" t="s">
        <v>22</v>
      </c>
      <c r="F40" s="17">
        <v>11</v>
      </c>
      <c r="G40" s="18">
        <v>5</v>
      </c>
      <c r="H40" s="16">
        <v>1</v>
      </c>
      <c r="I40" s="16">
        <v>1</v>
      </c>
      <c r="J40" s="16">
        <v>1</v>
      </c>
      <c r="K40" s="16">
        <v>2</v>
      </c>
      <c r="L40" s="17">
        <v>10</v>
      </c>
      <c r="M40" s="16">
        <v>2</v>
      </c>
      <c r="N40" s="16">
        <v>1</v>
      </c>
      <c r="O40" s="16">
        <v>1</v>
      </c>
    </row>
    <row r="41" spans="1:15" x14ac:dyDescent="0.25">
      <c r="A41" s="16">
        <v>40</v>
      </c>
      <c r="B41" s="16" t="s">
        <v>20</v>
      </c>
      <c r="C41" s="16" t="s">
        <v>19</v>
      </c>
      <c r="D41" s="16" t="s">
        <v>21</v>
      </c>
      <c r="E41" s="16" t="s">
        <v>18</v>
      </c>
      <c r="F41" s="17">
        <v>11</v>
      </c>
      <c r="G41" s="18">
        <v>5</v>
      </c>
      <c r="H41" s="16">
        <v>1</v>
      </c>
      <c r="I41" s="16">
        <v>1</v>
      </c>
      <c r="J41" s="16">
        <v>1</v>
      </c>
      <c r="K41" s="16">
        <v>2</v>
      </c>
      <c r="L41" s="17">
        <v>10</v>
      </c>
      <c r="M41" s="16">
        <v>2</v>
      </c>
      <c r="N41" s="16">
        <v>1</v>
      </c>
      <c r="O41" s="16">
        <v>1</v>
      </c>
    </row>
    <row r="42" spans="1:15" x14ac:dyDescent="0.25">
      <c r="A42">
        <v>41</v>
      </c>
      <c r="B42" t="s">
        <v>20</v>
      </c>
      <c r="C42" t="s">
        <v>19</v>
      </c>
      <c r="D42" t="s">
        <v>17</v>
      </c>
      <c r="E42" t="s">
        <v>18</v>
      </c>
      <c r="F42" s="15">
        <v>11</v>
      </c>
      <c r="G42" s="1">
        <v>5</v>
      </c>
      <c r="H42" s="1">
        <v>2</v>
      </c>
      <c r="I42">
        <v>1</v>
      </c>
      <c r="J42">
        <v>1</v>
      </c>
      <c r="K42">
        <v>2</v>
      </c>
      <c r="L42" s="1">
        <v>13</v>
      </c>
      <c r="M42">
        <v>2</v>
      </c>
      <c r="N42">
        <v>1</v>
      </c>
      <c r="O42">
        <v>1</v>
      </c>
    </row>
    <row r="43" spans="1:15" x14ac:dyDescent="0.25">
      <c r="A43" s="16">
        <v>42</v>
      </c>
      <c r="B43" t="s">
        <v>20</v>
      </c>
      <c r="C43" t="s">
        <v>19</v>
      </c>
      <c r="D43" t="s">
        <v>17</v>
      </c>
      <c r="E43" t="s">
        <v>18</v>
      </c>
      <c r="F43" s="15">
        <v>11</v>
      </c>
      <c r="G43" s="1">
        <v>7</v>
      </c>
      <c r="H43" s="1">
        <v>3</v>
      </c>
      <c r="I43">
        <v>1</v>
      </c>
      <c r="J43">
        <v>1</v>
      </c>
      <c r="K43">
        <v>2</v>
      </c>
      <c r="L43" s="1">
        <v>13</v>
      </c>
      <c r="M43">
        <v>2</v>
      </c>
      <c r="N43">
        <v>1</v>
      </c>
      <c r="O43">
        <v>1</v>
      </c>
    </row>
    <row r="44" spans="1:15" x14ac:dyDescent="0.25">
      <c r="A44" s="19">
        <v>43</v>
      </c>
      <c r="B44" s="19" t="s">
        <v>20</v>
      </c>
      <c r="C44" s="19" t="s">
        <v>19</v>
      </c>
      <c r="D44" s="19" t="s">
        <v>17</v>
      </c>
      <c r="E44" s="19" t="s">
        <v>18</v>
      </c>
      <c r="F44" s="20">
        <v>11</v>
      </c>
      <c r="G44" s="21">
        <v>5</v>
      </c>
      <c r="H44" s="21">
        <v>4</v>
      </c>
      <c r="I44" s="19">
        <v>1</v>
      </c>
      <c r="J44" s="19">
        <v>1</v>
      </c>
      <c r="K44" s="19">
        <v>2</v>
      </c>
      <c r="L44" s="21">
        <v>13</v>
      </c>
      <c r="M44" s="19">
        <v>2</v>
      </c>
      <c r="N44" s="19">
        <v>1</v>
      </c>
      <c r="O44" s="19">
        <v>1</v>
      </c>
    </row>
    <row r="45" spans="1:15" x14ac:dyDescent="0.25">
      <c r="A45" s="19">
        <v>44</v>
      </c>
      <c r="B45" s="19" t="s">
        <v>20</v>
      </c>
      <c r="C45" s="19" t="s">
        <v>19</v>
      </c>
      <c r="D45" s="19" t="s">
        <v>17</v>
      </c>
      <c r="E45" s="19" t="s">
        <v>22</v>
      </c>
      <c r="F45" s="20">
        <v>11</v>
      </c>
      <c r="G45" s="21">
        <v>5</v>
      </c>
      <c r="H45" s="21">
        <v>4</v>
      </c>
      <c r="I45" s="19">
        <v>1</v>
      </c>
      <c r="J45" s="19">
        <v>1</v>
      </c>
      <c r="K45" s="19">
        <v>2</v>
      </c>
      <c r="L45" s="21">
        <v>13</v>
      </c>
      <c r="M45" s="19">
        <v>2</v>
      </c>
      <c r="N45" s="19">
        <v>1</v>
      </c>
      <c r="O45" s="19">
        <v>1</v>
      </c>
    </row>
    <row r="46" spans="1:15" x14ac:dyDescent="0.25">
      <c r="A46" s="19">
        <v>45</v>
      </c>
      <c r="B46" s="19" t="s">
        <v>20</v>
      </c>
      <c r="C46" s="19" t="s">
        <v>19</v>
      </c>
      <c r="D46" s="19" t="s">
        <v>21</v>
      </c>
      <c r="E46" s="19" t="s">
        <v>18</v>
      </c>
      <c r="F46" s="20">
        <v>11</v>
      </c>
      <c r="G46" s="21">
        <v>5</v>
      </c>
      <c r="H46" s="21">
        <v>4</v>
      </c>
      <c r="I46" s="19">
        <v>1</v>
      </c>
      <c r="J46" s="19">
        <v>1</v>
      </c>
      <c r="K46" s="19">
        <v>2</v>
      </c>
      <c r="L46" s="21">
        <v>13</v>
      </c>
      <c r="M46" s="19">
        <v>2</v>
      </c>
      <c r="N46" s="19">
        <v>1</v>
      </c>
      <c r="O46" s="19">
        <v>1</v>
      </c>
    </row>
    <row r="47" spans="1:15" x14ac:dyDescent="0.25">
      <c r="A47" s="19">
        <v>46</v>
      </c>
      <c r="B47" s="19" t="s">
        <v>15</v>
      </c>
      <c r="C47" s="19" t="s">
        <v>19</v>
      </c>
      <c r="D47" s="19" t="s">
        <v>17</v>
      </c>
      <c r="E47" s="19" t="s">
        <v>18</v>
      </c>
      <c r="F47" s="20">
        <v>12</v>
      </c>
      <c r="G47" s="21">
        <v>5</v>
      </c>
      <c r="H47" s="21">
        <v>4</v>
      </c>
      <c r="I47" s="19">
        <v>1</v>
      </c>
      <c r="J47" s="19">
        <v>1</v>
      </c>
      <c r="K47" s="19">
        <v>2</v>
      </c>
      <c r="L47" s="21">
        <v>13</v>
      </c>
      <c r="M47" s="19">
        <v>2</v>
      </c>
      <c r="N47" s="19">
        <v>1</v>
      </c>
      <c r="O47" s="19">
        <v>1</v>
      </c>
    </row>
    <row r="48" spans="1:15" x14ac:dyDescent="0.25">
      <c r="A48" s="19">
        <v>47</v>
      </c>
      <c r="B48" s="19" t="s">
        <v>15</v>
      </c>
      <c r="C48" s="19" t="s">
        <v>19</v>
      </c>
      <c r="D48" s="19" t="s">
        <v>17</v>
      </c>
      <c r="E48" s="19" t="s">
        <v>18</v>
      </c>
      <c r="F48" s="22">
        <v>13</v>
      </c>
      <c r="G48" s="21">
        <v>5</v>
      </c>
      <c r="H48" s="21">
        <v>4</v>
      </c>
      <c r="I48" s="19">
        <v>1</v>
      </c>
      <c r="J48" s="19">
        <v>1</v>
      </c>
      <c r="K48" s="19">
        <v>2</v>
      </c>
      <c r="L48" s="21">
        <v>13</v>
      </c>
      <c r="M48" s="19">
        <v>2</v>
      </c>
      <c r="N48" s="19">
        <v>1</v>
      </c>
      <c r="O48" s="19">
        <v>1</v>
      </c>
    </row>
    <row r="49" spans="1:15" s="4" customFormat="1" x14ac:dyDescent="0.25">
      <c r="A49" s="4">
        <v>48</v>
      </c>
      <c r="B49" s="4" t="s">
        <v>20</v>
      </c>
      <c r="C49" s="4" t="s">
        <v>19</v>
      </c>
      <c r="D49" s="4" t="s">
        <v>17</v>
      </c>
      <c r="E49" s="4" t="s">
        <v>18</v>
      </c>
      <c r="F49" s="23">
        <v>11</v>
      </c>
      <c r="G49" s="5">
        <v>5</v>
      </c>
      <c r="H49" s="5">
        <v>4</v>
      </c>
      <c r="I49" s="4">
        <v>1</v>
      </c>
      <c r="J49" s="4">
        <v>1</v>
      </c>
      <c r="K49" s="4">
        <v>2</v>
      </c>
      <c r="L49" s="5">
        <v>14</v>
      </c>
      <c r="M49" s="4">
        <v>2</v>
      </c>
      <c r="N49" s="4">
        <v>1</v>
      </c>
      <c r="O49" s="4">
        <v>1</v>
      </c>
    </row>
    <row r="50" spans="1:15" x14ac:dyDescent="0.25">
      <c r="A50">
        <v>49</v>
      </c>
      <c r="B50" s="19" t="s">
        <v>20</v>
      </c>
      <c r="C50" s="19" t="s">
        <v>19</v>
      </c>
      <c r="D50" s="19" t="s">
        <v>17</v>
      </c>
      <c r="E50" s="19" t="s">
        <v>18</v>
      </c>
      <c r="F50" s="24">
        <v>15</v>
      </c>
      <c r="G50" s="21">
        <v>5</v>
      </c>
      <c r="H50" s="21">
        <v>4</v>
      </c>
      <c r="I50" s="19">
        <v>1</v>
      </c>
      <c r="J50" s="19">
        <v>1</v>
      </c>
      <c r="K50" s="19">
        <v>2</v>
      </c>
      <c r="L50" s="21">
        <v>13</v>
      </c>
      <c r="M50" s="19">
        <v>2</v>
      </c>
      <c r="N50" s="19">
        <v>1</v>
      </c>
      <c r="O50" s="19">
        <v>1</v>
      </c>
    </row>
    <row r="51" spans="1:15" x14ac:dyDescent="0.25">
      <c r="A51">
        <v>50</v>
      </c>
      <c r="B51" s="19" t="s">
        <v>20</v>
      </c>
      <c r="C51" s="19" t="s">
        <v>16</v>
      </c>
      <c r="D51" s="19" t="s">
        <v>17</v>
      </c>
      <c r="E51" s="19" t="s">
        <v>18</v>
      </c>
      <c r="F51">
        <v>16</v>
      </c>
      <c r="G51" s="21">
        <v>5</v>
      </c>
      <c r="H51" s="21">
        <v>4</v>
      </c>
      <c r="I51" s="19">
        <v>1</v>
      </c>
      <c r="J51" s="19">
        <v>1</v>
      </c>
      <c r="K51" s="19">
        <v>2</v>
      </c>
      <c r="L51" s="21">
        <v>13</v>
      </c>
      <c r="M51" s="19">
        <v>2</v>
      </c>
      <c r="N51" s="19">
        <v>1</v>
      </c>
      <c r="O51" s="19">
        <v>1</v>
      </c>
    </row>
    <row r="52" spans="1:15" x14ac:dyDescent="0.25">
      <c r="A52">
        <v>51</v>
      </c>
      <c r="B52" s="19" t="s">
        <v>20</v>
      </c>
      <c r="C52" s="19" t="s">
        <v>16</v>
      </c>
      <c r="D52" s="19" t="s">
        <v>17</v>
      </c>
      <c r="E52" s="19" t="s">
        <v>18</v>
      </c>
      <c r="F52">
        <v>17</v>
      </c>
      <c r="G52" s="21">
        <v>5</v>
      </c>
      <c r="H52" s="21">
        <v>4</v>
      </c>
      <c r="I52" s="19">
        <v>1</v>
      </c>
      <c r="J52" s="19">
        <v>1</v>
      </c>
      <c r="K52" s="19">
        <v>2</v>
      </c>
      <c r="L52" s="21">
        <v>13</v>
      </c>
      <c r="M52" s="19">
        <v>2</v>
      </c>
      <c r="N52" s="19">
        <v>1</v>
      </c>
      <c r="O52" s="19">
        <v>1</v>
      </c>
    </row>
    <row r="53" spans="1:15" x14ac:dyDescent="0.25">
      <c r="A53" s="36">
        <v>52</v>
      </c>
      <c r="B53" s="37" t="s">
        <v>20</v>
      </c>
      <c r="C53" s="37" t="s">
        <v>16</v>
      </c>
      <c r="D53" s="37" t="s">
        <v>17</v>
      </c>
      <c r="E53" s="37" t="s">
        <v>22</v>
      </c>
      <c r="F53" s="36">
        <v>17</v>
      </c>
      <c r="G53" s="38">
        <v>5</v>
      </c>
      <c r="H53" s="38">
        <v>4</v>
      </c>
      <c r="I53" s="37">
        <v>1</v>
      </c>
      <c r="J53" s="37">
        <v>1</v>
      </c>
      <c r="K53" s="37">
        <v>2</v>
      </c>
      <c r="L53" s="38">
        <v>13</v>
      </c>
      <c r="M53" s="37">
        <v>2</v>
      </c>
      <c r="N53" s="37">
        <v>1</v>
      </c>
      <c r="O53" s="37">
        <v>1</v>
      </c>
    </row>
    <row r="54" spans="1:15" x14ac:dyDescent="0.25">
      <c r="A54" s="19">
        <v>53</v>
      </c>
      <c r="B54" s="19" t="s">
        <v>15</v>
      </c>
      <c r="C54" s="19" t="s">
        <v>19</v>
      </c>
      <c r="D54" s="19" t="s">
        <v>17</v>
      </c>
      <c r="E54" s="19" t="s">
        <v>18</v>
      </c>
      <c r="F54" s="20">
        <v>13</v>
      </c>
      <c r="G54" s="21">
        <v>5</v>
      </c>
      <c r="H54" s="21">
        <v>4</v>
      </c>
      <c r="I54" s="19">
        <v>1</v>
      </c>
      <c r="J54" s="19">
        <v>1</v>
      </c>
      <c r="K54" s="19">
        <v>2</v>
      </c>
      <c r="L54" s="21">
        <v>13</v>
      </c>
      <c r="M54" s="19">
        <v>2</v>
      </c>
      <c r="N54" s="19">
        <v>1</v>
      </c>
      <c r="O54" s="19">
        <v>1</v>
      </c>
    </row>
    <row r="55" spans="1:15" x14ac:dyDescent="0.25">
      <c r="A55" s="19">
        <v>54</v>
      </c>
      <c r="B55" s="19" t="s">
        <v>15</v>
      </c>
      <c r="C55" s="19" t="s">
        <v>19</v>
      </c>
      <c r="D55" s="19" t="s">
        <v>17</v>
      </c>
      <c r="E55" s="19" t="s">
        <v>18</v>
      </c>
      <c r="F55" s="20">
        <v>13</v>
      </c>
      <c r="G55" s="21">
        <v>5</v>
      </c>
      <c r="H55" s="21">
        <v>4</v>
      </c>
      <c r="I55" s="19">
        <v>1</v>
      </c>
      <c r="J55" s="19">
        <v>1</v>
      </c>
      <c r="K55" s="19">
        <v>2</v>
      </c>
      <c r="L55" s="24">
        <v>15</v>
      </c>
      <c r="M55" s="19">
        <v>2</v>
      </c>
      <c r="N55" s="19">
        <v>1</v>
      </c>
      <c r="O55" s="19">
        <v>1</v>
      </c>
    </row>
    <row r="56" spans="1:15" x14ac:dyDescent="0.25">
      <c r="A56" s="19">
        <v>55</v>
      </c>
      <c r="B56" s="19" t="s">
        <v>15</v>
      </c>
      <c r="C56" s="19" t="s">
        <v>19</v>
      </c>
      <c r="D56" s="19" t="s">
        <v>17</v>
      </c>
      <c r="E56" s="19" t="s">
        <v>18</v>
      </c>
      <c r="F56" s="24">
        <v>14</v>
      </c>
      <c r="G56" s="21">
        <v>5</v>
      </c>
      <c r="H56" s="21">
        <v>4</v>
      </c>
      <c r="I56" s="19">
        <v>1</v>
      </c>
      <c r="J56" s="19">
        <v>1</v>
      </c>
      <c r="K56" s="19">
        <v>2</v>
      </c>
      <c r="L56" s="21">
        <v>13</v>
      </c>
      <c r="M56" s="19">
        <v>2</v>
      </c>
      <c r="N56" s="19">
        <v>1</v>
      </c>
      <c r="O56" s="19">
        <v>1</v>
      </c>
    </row>
    <row r="57" spans="1:15" x14ac:dyDescent="0.25">
      <c r="A57" s="19">
        <v>56</v>
      </c>
      <c r="B57" s="19" t="s">
        <v>15</v>
      </c>
      <c r="C57" s="19" t="s">
        <v>19</v>
      </c>
      <c r="D57" s="19" t="s">
        <v>17</v>
      </c>
      <c r="E57" s="19" t="s">
        <v>18</v>
      </c>
      <c r="F57" s="24">
        <v>14</v>
      </c>
      <c r="G57" s="21">
        <v>5</v>
      </c>
      <c r="H57" s="24">
        <v>6</v>
      </c>
      <c r="I57" s="19">
        <v>1</v>
      </c>
      <c r="J57" s="19">
        <v>1</v>
      </c>
      <c r="K57" s="19">
        <v>2</v>
      </c>
      <c r="L57" s="21">
        <v>13</v>
      </c>
      <c r="M57" s="19">
        <v>2</v>
      </c>
      <c r="N57" s="19">
        <v>1</v>
      </c>
      <c r="O57" s="19">
        <v>1</v>
      </c>
    </row>
    <row r="58" spans="1:15" x14ac:dyDescent="0.25">
      <c r="A58" s="19">
        <v>57</v>
      </c>
      <c r="B58" s="19" t="s">
        <v>15</v>
      </c>
      <c r="C58" s="19" t="s">
        <v>19</v>
      </c>
      <c r="D58" s="19" t="s">
        <v>17</v>
      </c>
      <c r="E58" s="19" t="s">
        <v>22</v>
      </c>
      <c r="F58" s="24">
        <v>14</v>
      </c>
      <c r="G58" s="21">
        <v>5</v>
      </c>
      <c r="H58" s="21">
        <v>4</v>
      </c>
      <c r="I58" s="19">
        <v>1</v>
      </c>
      <c r="J58" s="19">
        <v>1</v>
      </c>
      <c r="K58" s="19">
        <v>2</v>
      </c>
      <c r="L58" s="21">
        <v>13</v>
      </c>
      <c r="M58" s="19">
        <v>2</v>
      </c>
      <c r="N58" s="19">
        <v>1</v>
      </c>
      <c r="O58" s="19">
        <v>1</v>
      </c>
    </row>
    <row r="59" spans="1:15" s="34" customFormat="1" x14ac:dyDescent="0.25">
      <c r="A59" s="31">
        <v>58</v>
      </c>
      <c r="B59" s="31" t="s">
        <v>20</v>
      </c>
      <c r="C59" s="31" t="s">
        <v>16</v>
      </c>
      <c r="D59" s="31" t="s">
        <v>17</v>
      </c>
      <c r="E59" s="31" t="s">
        <v>18</v>
      </c>
      <c r="F59" s="32">
        <v>18</v>
      </c>
      <c r="G59" s="33">
        <v>5</v>
      </c>
      <c r="H59" s="33">
        <v>4</v>
      </c>
      <c r="I59" s="31">
        <v>1</v>
      </c>
      <c r="J59" s="31">
        <v>1</v>
      </c>
      <c r="K59" s="31">
        <v>2</v>
      </c>
      <c r="L59" s="33">
        <v>13</v>
      </c>
      <c r="M59" s="31">
        <v>2</v>
      </c>
      <c r="N59" s="31">
        <v>1</v>
      </c>
      <c r="O59" s="31">
        <v>1</v>
      </c>
    </row>
    <row r="60" spans="1:15" s="34" customFormat="1" x14ac:dyDescent="0.25">
      <c r="A60" s="31">
        <v>59</v>
      </c>
      <c r="B60" s="31" t="s">
        <v>20</v>
      </c>
      <c r="C60" s="31" t="s">
        <v>16</v>
      </c>
      <c r="D60" s="31" t="s">
        <v>17</v>
      </c>
      <c r="E60" s="31" t="s">
        <v>18</v>
      </c>
      <c r="F60" s="34">
        <v>17</v>
      </c>
      <c r="G60" s="33">
        <v>5</v>
      </c>
      <c r="H60" s="33">
        <v>4</v>
      </c>
      <c r="I60" s="31">
        <v>1</v>
      </c>
      <c r="J60" s="31">
        <v>1</v>
      </c>
      <c r="K60" s="31">
        <v>2</v>
      </c>
      <c r="L60" s="35">
        <v>16</v>
      </c>
      <c r="M60" s="31">
        <v>2</v>
      </c>
      <c r="N60" s="31">
        <v>1</v>
      </c>
      <c r="O60" s="31">
        <v>1</v>
      </c>
    </row>
    <row r="61" spans="1:15" s="34" customFormat="1" x14ac:dyDescent="0.25">
      <c r="A61" s="31">
        <v>60</v>
      </c>
      <c r="B61" s="31" t="s">
        <v>20</v>
      </c>
      <c r="C61" s="31" t="s">
        <v>16</v>
      </c>
      <c r="D61" s="31" t="s">
        <v>17</v>
      </c>
      <c r="E61" s="31" t="s">
        <v>18</v>
      </c>
      <c r="F61" s="32">
        <v>18</v>
      </c>
      <c r="G61" s="33">
        <v>5</v>
      </c>
      <c r="H61" s="33">
        <v>4</v>
      </c>
      <c r="I61" s="31">
        <v>1</v>
      </c>
      <c r="J61" s="31">
        <v>1</v>
      </c>
      <c r="K61" s="31">
        <v>2</v>
      </c>
      <c r="L61" s="33">
        <v>13</v>
      </c>
      <c r="M61" s="33">
        <v>1</v>
      </c>
      <c r="N61" s="31">
        <v>1</v>
      </c>
      <c r="O61" s="31">
        <v>1</v>
      </c>
    </row>
    <row r="62" spans="1:15" s="34" customFormat="1" x14ac:dyDescent="0.25">
      <c r="A62" s="37">
        <v>61</v>
      </c>
      <c r="B62" s="37" t="s">
        <v>20</v>
      </c>
      <c r="C62" s="37" t="s">
        <v>16</v>
      </c>
      <c r="D62" s="37" t="s">
        <v>21</v>
      </c>
      <c r="E62" s="37" t="s">
        <v>18</v>
      </c>
      <c r="F62" s="36">
        <v>17</v>
      </c>
      <c r="G62" s="38">
        <v>5</v>
      </c>
      <c r="H62" s="38">
        <v>4</v>
      </c>
      <c r="I62" s="37">
        <v>1</v>
      </c>
      <c r="J62" s="37">
        <v>1</v>
      </c>
      <c r="K62" s="37">
        <v>2</v>
      </c>
      <c r="L62" s="38">
        <v>13</v>
      </c>
      <c r="M62" s="38">
        <v>1</v>
      </c>
      <c r="N62" s="37">
        <v>1</v>
      </c>
      <c r="O62" s="37">
        <v>1</v>
      </c>
    </row>
    <row r="63" spans="1:15" s="34" customFormat="1" x14ac:dyDescent="0.25">
      <c r="A63" s="31">
        <v>62</v>
      </c>
      <c r="B63" s="37" t="s">
        <v>20</v>
      </c>
      <c r="C63" s="37" t="s">
        <v>16</v>
      </c>
      <c r="D63" s="37" t="s">
        <v>21</v>
      </c>
      <c r="E63" s="37" t="s">
        <v>18</v>
      </c>
      <c r="F63" s="36">
        <v>17</v>
      </c>
      <c r="G63" s="38">
        <v>5</v>
      </c>
      <c r="H63" s="38">
        <v>4</v>
      </c>
      <c r="I63" s="37">
        <v>1</v>
      </c>
      <c r="J63" s="37">
        <v>1</v>
      </c>
      <c r="K63" s="37">
        <v>2</v>
      </c>
      <c r="L63" s="38">
        <v>13</v>
      </c>
      <c r="M63" s="38">
        <v>2</v>
      </c>
      <c r="N63" s="37">
        <v>1</v>
      </c>
      <c r="O63" s="37">
        <v>1</v>
      </c>
    </row>
    <row r="64" spans="1:15" s="34" customFormat="1" x14ac:dyDescent="0.25">
      <c r="A64" s="31">
        <v>63</v>
      </c>
      <c r="B64" s="19" t="s">
        <v>20</v>
      </c>
      <c r="C64" s="19" t="s">
        <v>16</v>
      </c>
      <c r="D64" s="19" t="s">
        <v>17</v>
      </c>
      <c r="E64" s="19" t="s">
        <v>18</v>
      </c>
      <c r="F64">
        <v>19</v>
      </c>
      <c r="G64" s="21">
        <v>5</v>
      </c>
      <c r="H64" s="21">
        <v>4</v>
      </c>
      <c r="I64" s="19">
        <v>1</v>
      </c>
      <c r="J64" s="19">
        <v>1</v>
      </c>
      <c r="K64" s="19">
        <v>2</v>
      </c>
      <c r="L64" s="21">
        <v>13</v>
      </c>
      <c r="M64" s="19">
        <v>2</v>
      </c>
      <c r="N64" s="19">
        <v>1</v>
      </c>
      <c r="O64" s="19">
        <v>1</v>
      </c>
    </row>
    <row r="65" spans="1:15" s="34" customFormat="1" x14ac:dyDescent="0.25">
      <c r="A65" s="31">
        <v>64</v>
      </c>
      <c r="B65" s="19" t="s">
        <v>20</v>
      </c>
      <c r="C65" s="19" t="s">
        <v>16</v>
      </c>
      <c r="D65" s="19" t="s">
        <v>17</v>
      </c>
      <c r="E65" s="19" t="s">
        <v>18</v>
      </c>
      <c r="F65">
        <v>20</v>
      </c>
      <c r="G65" s="21">
        <v>5</v>
      </c>
      <c r="H65" s="21">
        <v>4</v>
      </c>
      <c r="I65" s="19">
        <v>1</v>
      </c>
      <c r="J65" s="19">
        <v>1</v>
      </c>
      <c r="K65" s="19">
        <v>2</v>
      </c>
      <c r="L65" s="21">
        <v>13</v>
      </c>
      <c r="M65" s="19">
        <v>2</v>
      </c>
      <c r="N65" s="19">
        <v>1</v>
      </c>
      <c r="O65" s="19">
        <v>1</v>
      </c>
    </row>
    <row r="66" spans="1:15" s="34" customFormat="1" x14ac:dyDescent="0.25">
      <c r="A66" s="31">
        <v>65</v>
      </c>
      <c r="B66" s="19" t="s">
        <v>20</v>
      </c>
      <c r="C66" s="19" t="s">
        <v>16</v>
      </c>
      <c r="D66" s="19" t="s">
        <v>17</v>
      </c>
      <c r="E66" s="19" t="s">
        <v>18</v>
      </c>
      <c r="F66">
        <v>21</v>
      </c>
      <c r="G66" s="21">
        <v>5</v>
      </c>
      <c r="H66" s="21">
        <v>4</v>
      </c>
      <c r="I66" s="19">
        <v>1</v>
      </c>
      <c r="J66" s="19">
        <v>1</v>
      </c>
      <c r="K66" s="19">
        <v>2</v>
      </c>
      <c r="L66" s="21">
        <v>13</v>
      </c>
      <c r="M66" s="19">
        <v>2</v>
      </c>
      <c r="N66" s="19">
        <v>1</v>
      </c>
      <c r="O66" s="19">
        <v>1</v>
      </c>
    </row>
    <row r="67" spans="1:15" s="34" customFormat="1" x14ac:dyDescent="0.25">
      <c r="A67" s="31">
        <v>66</v>
      </c>
      <c r="B67" s="19" t="s">
        <v>20</v>
      </c>
      <c r="C67" s="19" t="s">
        <v>16</v>
      </c>
      <c r="D67" s="19" t="s">
        <v>17</v>
      </c>
      <c r="E67" s="19" t="s">
        <v>18</v>
      </c>
      <c r="F67">
        <v>22</v>
      </c>
      <c r="G67" s="21">
        <v>5</v>
      </c>
      <c r="H67" s="21">
        <v>4</v>
      </c>
      <c r="I67" s="19">
        <v>1</v>
      </c>
      <c r="J67" s="19">
        <v>1</v>
      </c>
      <c r="K67" s="19">
        <v>2</v>
      </c>
      <c r="L67" s="21">
        <v>13</v>
      </c>
      <c r="M67" s="19">
        <v>2</v>
      </c>
      <c r="N67" s="19">
        <v>1</v>
      </c>
      <c r="O67" s="19">
        <v>1</v>
      </c>
    </row>
    <row r="68" spans="1:15" s="34" customFormat="1" x14ac:dyDescent="0.25">
      <c r="A68" s="31">
        <v>67</v>
      </c>
      <c r="B68" s="19" t="s">
        <v>20</v>
      </c>
      <c r="C68" s="19" t="s">
        <v>16</v>
      </c>
      <c r="D68" s="19" t="s">
        <v>17</v>
      </c>
      <c r="E68" s="19" t="s">
        <v>18</v>
      </c>
      <c r="F68">
        <v>23</v>
      </c>
      <c r="G68" s="21">
        <v>5</v>
      </c>
      <c r="H68" s="21">
        <v>4</v>
      </c>
      <c r="I68" s="19">
        <v>1</v>
      </c>
      <c r="J68" s="19">
        <v>1</v>
      </c>
      <c r="K68" s="19">
        <v>2</v>
      </c>
      <c r="L68" s="21">
        <v>13</v>
      </c>
      <c r="M68" s="19">
        <v>2</v>
      </c>
      <c r="N68" s="19">
        <v>1</v>
      </c>
      <c r="O68" s="19">
        <v>1</v>
      </c>
    </row>
    <row r="69" spans="1:15" s="34" customFormat="1" x14ac:dyDescent="0.25">
      <c r="A69" s="31">
        <v>68</v>
      </c>
      <c r="B69" s="19" t="s">
        <v>20</v>
      </c>
      <c r="C69" s="19" t="s">
        <v>16</v>
      </c>
      <c r="D69" s="19" t="s">
        <v>17</v>
      </c>
      <c r="E69" s="19" t="s">
        <v>18</v>
      </c>
      <c r="F69">
        <v>24</v>
      </c>
      <c r="G69" s="21">
        <v>5</v>
      </c>
      <c r="H69" s="21">
        <v>4</v>
      </c>
      <c r="I69" s="19">
        <v>1</v>
      </c>
      <c r="J69" s="19">
        <v>1</v>
      </c>
      <c r="K69" s="19">
        <v>2</v>
      </c>
      <c r="L69" s="21">
        <v>13</v>
      </c>
      <c r="M69" s="19">
        <v>2</v>
      </c>
      <c r="N69" s="19">
        <v>1</v>
      </c>
      <c r="O69" s="19">
        <v>1</v>
      </c>
    </row>
    <row r="70" spans="1:15" s="34" customFormat="1" x14ac:dyDescent="0.25">
      <c r="A70" s="31">
        <v>69</v>
      </c>
      <c r="B70" s="19" t="s">
        <v>20</v>
      </c>
      <c r="C70" s="19" t="s">
        <v>16</v>
      </c>
      <c r="D70" s="19" t="s">
        <v>17</v>
      </c>
      <c r="E70" s="19" t="s">
        <v>18</v>
      </c>
      <c r="F70">
        <v>25</v>
      </c>
      <c r="G70" s="21">
        <v>5</v>
      </c>
      <c r="H70" s="21">
        <v>4</v>
      </c>
      <c r="I70" s="19">
        <v>1</v>
      </c>
      <c r="J70" s="19">
        <v>1</v>
      </c>
      <c r="K70" s="19">
        <v>2</v>
      </c>
      <c r="L70" s="21">
        <v>13</v>
      </c>
      <c r="M70" s="19">
        <v>2</v>
      </c>
      <c r="N70" s="19">
        <v>1</v>
      </c>
      <c r="O70" s="19">
        <v>1</v>
      </c>
    </row>
    <row r="71" spans="1:15" s="34" customFormat="1" x14ac:dyDescent="0.25">
      <c r="A71" s="31">
        <v>70</v>
      </c>
      <c r="B71" s="19" t="s">
        <v>20</v>
      </c>
      <c r="C71" s="19" t="s">
        <v>16</v>
      </c>
      <c r="D71" s="19" t="s">
        <v>17</v>
      </c>
      <c r="E71" s="19" t="s">
        <v>18</v>
      </c>
      <c r="F71">
        <v>26</v>
      </c>
      <c r="G71" s="21">
        <v>5</v>
      </c>
      <c r="H71" s="21">
        <v>4</v>
      </c>
      <c r="I71" s="19">
        <v>1</v>
      </c>
      <c r="J71" s="19">
        <v>1</v>
      </c>
      <c r="K71" s="19">
        <v>2</v>
      </c>
      <c r="L71" s="21">
        <v>13</v>
      </c>
      <c r="M71" s="19">
        <v>2</v>
      </c>
      <c r="N71" s="19">
        <v>1</v>
      </c>
      <c r="O71" s="19">
        <v>1</v>
      </c>
    </row>
    <row r="72" spans="1:15" s="34" customFormat="1" x14ac:dyDescent="0.25">
      <c r="A72" s="31">
        <v>71</v>
      </c>
      <c r="B72" s="19" t="s">
        <v>20</v>
      </c>
      <c r="C72" s="19" t="s">
        <v>16</v>
      </c>
      <c r="D72" s="19" t="s">
        <v>17</v>
      </c>
      <c r="E72" s="19" t="s">
        <v>18</v>
      </c>
      <c r="F72">
        <v>27</v>
      </c>
      <c r="G72" s="21">
        <v>5</v>
      </c>
      <c r="H72" s="21">
        <v>4</v>
      </c>
      <c r="I72" s="19">
        <v>1</v>
      </c>
      <c r="J72" s="19">
        <v>1</v>
      </c>
      <c r="K72" s="19">
        <v>2</v>
      </c>
      <c r="L72" s="21">
        <v>13</v>
      </c>
      <c r="M72" s="19">
        <v>2</v>
      </c>
      <c r="N72" s="19">
        <v>1</v>
      </c>
      <c r="O72" s="19">
        <v>1</v>
      </c>
    </row>
    <row r="73" spans="1:15" s="34" customFormat="1" x14ac:dyDescent="0.25">
      <c r="A73" s="31">
        <v>72</v>
      </c>
      <c r="B73" s="19" t="s">
        <v>20</v>
      </c>
      <c r="C73" s="19" t="s">
        <v>16</v>
      </c>
      <c r="D73" s="19" t="s">
        <v>17</v>
      </c>
      <c r="E73" s="19" t="s">
        <v>18</v>
      </c>
      <c r="F73">
        <v>17</v>
      </c>
      <c r="G73" s="21">
        <v>8</v>
      </c>
      <c r="H73" s="21">
        <v>4</v>
      </c>
      <c r="I73" s="19">
        <v>1</v>
      </c>
      <c r="J73" s="19">
        <v>1</v>
      </c>
      <c r="K73" s="19">
        <v>2</v>
      </c>
      <c r="L73" s="21">
        <v>13</v>
      </c>
      <c r="M73" s="19">
        <v>2</v>
      </c>
      <c r="N73" s="19">
        <v>1</v>
      </c>
      <c r="O73" s="19">
        <v>1</v>
      </c>
    </row>
    <row r="74" spans="1:15" s="34" customFormat="1" x14ac:dyDescent="0.25">
      <c r="A74" s="31">
        <v>73</v>
      </c>
      <c r="B74" s="19" t="s">
        <v>20</v>
      </c>
      <c r="C74" s="19" t="s">
        <v>16</v>
      </c>
      <c r="D74" s="19" t="s">
        <v>17</v>
      </c>
      <c r="E74" s="19" t="s">
        <v>18</v>
      </c>
      <c r="F74">
        <v>17</v>
      </c>
      <c r="G74" s="21">
        <v>9</v>
      </c>
      <c r="H74" s="21">
        <v>4</v>
      </c>
      <c r="I74" s="19">
        <v>1</v>
      </c>
      <c r="J74" s="19">
        <v>1</v>
      </c>
      <c r="K74" s="19">
        <v>2</v>
      </c>
      <c r="L74" s="21">
        <v>13</v>
      </c>
      <c r="M74" s="19">
        <v>2</v>
      </c>
      <c r="N74" s="19">
        <v>1</v>
      </c>
      <c r="O74" s="19">
        <v>1</v>
      </c>
    </row>
    <row r="75" spans="1:15" x14ac:dyDescent="0.25">
      <c r="A75">
        <v>10000</v>
      </c>
      <c r="E75" t="s">
        <v>23</v>
      </c>
      <c r="F75" t="s">
        <v>24</v>
      </c>
      <c r="G75" t="s">
        <v>25</v>
      </c>
      <c r="H75" t="s">
        <v>26</v>
      </c>
      <c r="I75" t="s">
        <v>27</v>
      </c>
      <c r="J75" t="s">
        <v>28</v>
      </c>
      <c r="K75" t="s">
        <v>29</v>
      </c>
      <c r="L75" t="s">
        <v>30</v>
      </c>
      <c r="M75" t="s">
        <v>31</v>
      </c>
      <c r="N75" t="s">
        <v>32</v>
      </c>
      <c r="O75" t="s">
        <v>33</v>
      </c>
    </row>
    <row r="76" spans="1:15" x14ac:dyDescent="0.25">
      <c r="F76">
        <v>1</v>
      </c>
      <c r="G76">
        <v>2</v>
      </c>
      <c r="H76">
        <v>3</v>
      </c>
      <c r="I76">
        <v>4</v>
      </c>
      <c r="J76">
        <v>5</v>
      </c>
      <c r="K76">
        <v>6</v>
      </c>
      <c r="L76">
        <v>7</v>
      </c>
      <c r="M76">
        <v>8</v>
      </c>
      <c r="N76">
        <v>9</v>
      </c>
      <c r="O76">
        <v>10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zoomScaleNormal="100" workbookViewId="0">
      <selection activeCell="I30" sqref="I30"/>
    </sheetView>
  </sheetViews>
  <sheetFormatPr defaultRowHeight="15" x14ac:dyDescent="0.25"/>
  <cols>
    <col min="1" max="1" width="8.7109375" customWidth="1"/>
    <col min="2" max="2" width="34.28515625" customWidth="1"/>
    <col min="3" max="3" width="12.5703125" customWidth="1"/>
    <col min="4" max="4" width="13.42578125" customWidth="1"/>
    <col min="5" max="5" width="7.5703125" customWidth="1"/>
    <col min="6" max="7" width="7.7109375" customWidth="1"/>
    <col min="8" max="8" width="13.140625" customWidth="1"/>
    <col min="9" max="9" width="12.5703125" customWidth="1"/>
    <col min="10" max="1025" width="8.7109375" customWidth="1"/>
  </cols>
  <sheetData>
    <row r="1" spans="1:16" x14ac:dyDescent="0.25">
      <c r="A1" t="s">
        <v>34</v>
      </c>
      <c r="B1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  <c r="J1" s="25" t="s">
        <v>43</v>
      </c>
      <c r="K1" s="25" t="s">
        <v>44</v>
      </c>
      <c r="L1" s="25" t="s">
        <v>45</v>
      </c>
      <c r="M1" s="25" t="s">
        <v>46</v>
      </c>
      <c r="N1" s="25" t="s">
        <v>47</v>
      </c>
      <c r="O1" s="25" t="s">
        <v>48</v>
      </c>
      <c r="P1" s="25" t="s">
        <v>49</v>
      </c>
    </row>
    <row r="2" spans="1:16" x14ac:dyDescent="0.25">
      <c r="A2" t="s">
        <v>24</v>
      </c>
      <c r="B2" s="26" t="s">
        <v>50</v>
      </c>
      <c r="C2">
        <v>1</v>
      </c>
      <c r="D2">
        <v>1.6917000000000001E-2</v>
      </c>
      <c r="E2">
        <v>0</v>
      </c>
      <c r="F2">
        <v>0</v>
      </c>
      <c r="G2">
        <v>0.05</v>
      </c>
      <c r="H2">
        <v>1</v>
      </c>
      <c r="I2">
        <v>1.6917000000000001E-2</v>
      </c>
      <c r="J2">
        <v>0</v>
      </c>
      <c r="K2">
        <v>0</v>
      </c>
      <c r="L2">
        <v>0.05</v>
      </c>
      <c r="M2">
        <v>0.995</v>
      </c>
      <c r="N2">
        <v>0.995</v>
      </c>
      <c r="O2">
        <v>0.16916999999999999</v>
      </c>
      <c r="P2">
        <v>0</v>
      </c>
    </row>
    <row r="3" spans="1:16" x14ac:dyDescent="0.25">
      <c r="A3" t="s">
        <v>51</v>
      </c>
      <c r="B3" t="s">
        <v>52</v>
      </c>
      <c r="C3">
        <v>1</v>
      </c>
      <c r="D3">
        <v>1.6917000000000001E-2</v>
      </c>
      <c r="E3">
        <v>0</v>
      </c>
      <c r="F3">
        <v>0</v>
      </c>
      <c r="G3">
        <v>0.05</v>
      </c>
      <c r="H3">
        <v>1</v>
      </c>
      <c r="I3">
        <v>1.6917000000000001E-2</v>
      </c>
      <c r="J3">
        <v>0</v>
      </c>
      <c r="K3">
        <v>0</v>
      </c>
      <c r="L3">
        <v>0.05</v>
      </c>
      <c r="M3">
        <v>0.995</v>
      </c>
      <c r="N3">
        <v>0.995</v>
      </c>
      <c r="O3">
        <v>0.04</v>
      </c>
      <c r="P3">
        <v>0</v>
      </c>
    </row>
    <row r="4" spans="1:16" x14ac:dyDescent="0.25">
      <c r="A4" t="s">
        <v>53</v>
      </c>
      <c r="B4" s="26" t="s">
        <v>54</v>
      </c>
      <c r="C4">
        <v>1</v>
      </c>
      <c r="D4">
        <v>1.6917000000000001E-2</v>
      </c>
      <c r="E4">
        <v>0</v>
      </c>
      <c r="F4">
        <v>0</v>
      </c>
      <c r="G4">
        <v>0.05</v>
      </c>
      <c r="H4">
        <v>1</v>
      </c>
      <c r="I4">
        <f>2*0.016917</f>
        <v>3.3834000000000003E-2</v>
      </c>
      <c r="J4">
        <v>0</v>
      </c>
      <c r="K4">
        <v>0</v>
      </c>
      <c r="L4">
        <v>0.05</v>
      </c>
      <c r="M4">
        <v>0.995</v>
      </c>
      <c r="N4">
        <v>0.995</v>
      </c>
      <c r="O4">
        <v>0.16916999999999999</v>
      </c>
      <c r="P4">
        <v>0</v>
      </c>
    </row>
    <row r="5" spans="1:16" x14ac:dyDescent="0.25">
      <c r="A5" t="s">
        <v>55</v>
      </c>
      <c r="B5" t="s">
        <v>56</v>
      </c>
      <c r="C5">
        <v>1</v>
      </c>
      <c r="D5">
        <v>1.6917000000000001E-2</v>
      </c>
      <c r="E5">
        <v>0</v>
      </c>
      <c r="F5">
        <v>0</v>
      </c>
      <c r="G5">
        <v>0.05</v>
      </c>
      <c r="H5">
        <v>1</v>
      </c>
      <c r="I5">
        <v>1.6917000000000001E-2</v>
      </c>
      <c r="J5">
        <v>0</v>
      </c>
      <c r="K5">
        <v>0</v>
      </c>
      <c r="L5">
        <v>7.0000000000000007E-2</v>
      </c>
      <c r="M5">
        <v>0.995</v>
      </c>
      <c r="N5">
        <v>0.995</v>
      </c>
      <c r="O5">
        <v>0.16916999999999999</v>
      </c>
      <c r="P5">
        <v>0</v>
      </c>
    </row>
    <row r="6" spans="1:16" x14ac:dyDescent="0.25">
      <c r="A6" t="s">
        <v>57</v>
      </c>
      <c r="B6" t="s">
        <v>56</v>
      </c>
      <c r="C6">
        <v>1</v>
      </c>
      <c r="D6">
        <v>1.6917000000000001E-2</v>
      </c>
      <c r="E6">
        <v>0</v>
      </c>
      <c r="F6">
        <v>0</v>
      </c>
      <c r="G6">
        <v>0.05</v>
      </c>
      <c r="H6">
        <v>1</v>
      </c>
      <c r="I6">
        <v>1.6917000000000001E-2</v>
      </c>
      <c r="J6">
        <v>0</v>
      </c>
      <c r="K6">
        <v>0</v>
      </c>
      <c r="L6">
        <v>0.06</v>
      </c>
      <c r="M6">
        <v>0.995</v>
      </c>
      <c r="N6">
        <v>0.995</v>
      </c>
      <c r="O6">
        <v>0.16916999999999999</v>
      </c>
      <c r="P6">
        <v>0</v>
      </c>
    </row>
    <row r="7" spans="1:16" x14ac:dyDescent="0.25">
      <c r="A7" t="s">
        <v>58</v>
      </c>
      <c r="B7" t="s">
        <v>56</v>
      </c>
      <c r="C7">
        <v>1</v>
      </c>
      <c r="D7">
        <v>1.6917000000000001E-2</v>
      </c>
      <c r="E7">
        <v>0</v>
      </c>
      <c r="F7">
        <v>0</v>
      </c>
      <c r="G7">
        <v>0.05</v>
      </c>
      <c r="H7">
        <v>1</v>
      </c>
      <c r="I7">
        <v>1.6917000000000001E-2</v>
      </c>
      <c r="J7">
        <v>0</v>
      </c>
      <c r="K7">
        <v>0</v>
      </c>
      <c r="L7">
        <v>5.5E-2</v>
      </c>
      <c r="M7">
        <v>0.995</v>
      </c>
      <c r="N7">
        <v>0.995</v>
      </c>
      <c r="O7">
        <v>0.16916999999999999</v>
      </c>
      <c r="P7">
        <v>0</v>
      </c>
    </row>
    <row r="8" spans="1:16" x14ac:dyDescent="0.25">
      <c r="A8" t="s">
        <v>59</v>
      </c>
      <c r="B8" t="s">
        <v>60</v>
      </c>
      <c r="C8">
        <v>1</v>
      </c>
      <c r="D8">
        <v>1.6917000000000001E-2</v>
      </c>
      <c r="E8">
        <v>0</v>
      </c>
      <c r="F8">
        <v>0</v>
      </c>
      <c r="G8">
        <v>0.05</v>
      </c>
      <c r="H8">
        <v>1</v>
      </c>
      <c r="I8">
        <v>1.6917000000000001E-2</v>
      </c>
      <c r="J8">
        <v>0</v>
      </c>
      <c r="K8">
        <v>0</v>
      </c>
      <c r="L8">
        <v>5.5E-2</v>
      </c>
      <c r="M8">
        <v>0.995</v>
      </c>
      <c r="N8">
        <v>0.995</v>
      </c>
      <c r="O8" s="1">
        <v>0.08</v>
      </c>
      <c r="P8">
        <v>0</v>
      </c>
    </row>
    <row r="9" spans="1:16" x14ac:dyDescent="0.25">
      <c r="A9" t="s">
        <v>61</v>
      </c>
      <c r="B9" t="s">
        <v>62</v>
      </c>
      <c r="C9">
        <v>1</v>
      </c>
      <c r="D9" s="27">
        <v>8.5000000000000006E-2</v>
      </c>
      <c r="E9">
        <v>0</v>
      </c>
      <c r="F9">
        <v>0</v>
      </c>
      <c r="G9">
        <v>0.02</v>
      </c>
      <c r="H9">
        <v>1</v>
      </c>
      <c r="I9" s="27">
        <v>8.5000000000000006E-2</v>
      </c>
      <c r="J9">
        <v>0</v>
      </c>
      <c r="K9">
        <v>0</v>
      </c>
      <c r="L9">
        <v>2.52E-2</v>
      </c>
      <c r="M9">
        <v>0.995</v>
      </c>
      <c r="N9">
        <v>0.995</v>
      </c>
      <c r="O9">
        <v>0.08</v>
      </c>
      <c r="P9">
        <v>0</v>
      </c>
    </row>
    <row r="10" spans="1:16" x14ac:dyDescent="0.25">
      <c r="A10" t="s">
        <v>63</v>
      </c>
      <c r="B10" t="s">
        <v>64</v>
      </c>
      <c r="C10">
        <v>1</v>
      </c>
      <c r="D10" s="27">
        <v>0.31359999999999999</v>
      </c>
      <c r="E10">
        <v>0</v>
      </c>
      <c r="F10">
        <v>0</v>
      </c>
      <c r="G10">
        <v>7.4999999999999997E-3</v>
      </c>
      <c r="H10">
        <v>1</v>
      </c>
      <c r="I10" s="27">
        <v>0.31359999999999999</v>
      </c>
      <c r="J10">
        <v>0</v>
      </c>
      <c r="K10">
        <v>0</v>
      </c>
      <c r="L10">
        <v>8.0000000000000002E-3</v>
      </c>
      <c r="M10">
        <v>0.995</v>
      </c>
      <c r="N10">
        <v>0.995</v>
      </c>
      <c r="O10">
        <v>0.08</v>
      </c>
      <c r="P10">
        <v>0</v>
      </c>
    </row>
    <row r="11" spans="1:16" x14ac:dyDescent="0.25">
      <c r="A11" t="s">
        <v>65</v>
      </c>
      <c r="B11" t="s">
        <v>66</v>
      </c>
      <c r="C11">
        <v>1</v>
      </c>
      <c r="D11" s="27">
        <v>0.31359999999999999</v>
      </c>
      <c r="E11">
        <v>0</v>
      </c>
      <c r="F11">
        <v>0</v>
      </c>
      <c r="G11" s="1">
        <v>0</v>
      </c>
      <c r="H11">
        <v>1</v>
      </c>
      <c r="I11" s="27">
        <v>0.31359999999999999</v>
      </c>
      <c r="J11">
        <v>0</v>
      </c>
      <c r="K11">
        <v>0</v>
      </c>
      <c r="L11">
        <v>8.0000000000000002E-3</v>
      </c>
      <c r="M11">
        <v>0.995</v>
      </c>
      <c r="N11">
        <v>0.995</v>
      </c>
      <c r="O11">
        <v>0.08</v>
      </c>
      <c r="P11">
        <v>0</v>
      </c>
    </row>
    <row r="12" spans="1:16" x14ac:dyDescent="0.25">
      <c r="A12" t="s">
        <v>67</v>
      </c>
      <c r="B12" t="s">
        <v>68</v>
      </c>
      <c r="C12">
        <v>1</v>
      </c>
      <c r="D12" s="28">
        <v>0.1</v>
      </c>
      <c r="E12">
        <v>0</v>
      </c>
      <c r="F12">
        <v>0</v>
      </c>
      <c r="G12">
        <v>1.7000000000000001E-2</v>
      </c>
      <c r="H12">
        <v>1</v>
      </c>
      <c r="I12" s="27">
        <v>0.1</v>
      </c>
      <c r="J12">
        <v>0</v>
      </c>
      <c r="K12">
        <v>0</v>
      </c>
      <c r="L12">
        <v>1.7299999999999999E-2</v>
      </c>
      <c r="M12">
        <v>0.995</v>
      </c>
      <c r="N12">
        <v>0.995</v>
      </c>
      <c r="O12">
        <v>0.08</v>
      </c>
      <c r="P12">
        <f>2/400</f>
        <v>5.0000000000000001E-3</v>
      </c>
    </row>
    <row r="13" spans="1:16" x14ac:dyDescent="0.25">
      <c r="A13" t="s">
        <v>69</v>
      </c>
      <c r="B13" t="s">
        <v>70</v>
      </c>
      <c r="C13">
        <v>1</v>
      </c>
      <c r="D13" s="28">
        <v>2.5999999999999999E-2</v>
      </c>
      <c r="E13">
        <v>0</v>
      </c>
      <c r="F13">
        <v>0</v>
      </c>
      <c r="G13">
        <v>0.03</v>
      </c>
      <c r="H13">
        <v>1</v>
      </c>
      <c r="I13" s="29">
        <v>2.5999999999999999E-2</v>
      </c>
      <c r="J13">
        <v>0</v>
      </c>
      <c r="K13">
        <v>0</v>
      </c>
      <c r="L13">
        <v>3.32E-2</v>
      </c>
      <c r="M13">
        <v>0.995</v>
      </c>
      <c r="N13">
        <v>0.995</v>
      </c>
      <c r="O13" s="1">
        <v>0.04</v>
      </c>
      <c r="P13">
        <v>5.0000000000000001E-3</v>
      </c>
    </row>
    <row r="14" spans="1:16" x14ac:dyDescent="0.25">
      <c r="A14" t="s">
        <v>71</v>
      </c>
      <c r="B14" t="s">
        <v>72</v>
      </c>
      <c r="C14">
        <v>1</v>
      </c>
      <c r="D14" s="28">
        <v>0.1</v>
      </c>
      <c r="E14">
        <v>0</v>
      </c>
      <c r="F14">
        <v>0</v>
      </c>
      <c r="G14">
        <v>1.7000000000000001E-2</v>
      </c>
      <c r="H14">
        <v>1</v>
      </c>
      <c r="I14" s="27">
        <v>0.1</v>
      </c>
      <c r="J14">
        <v>0</v>
      </c>
      <c r="K14">
        <v>0</v>
      </c>
      <c r="L14">
        <v>1.7299999999999999E-2</v>
      </c>
      <c r="M14">
        <v>0.995</v>
      </c>
      <c r="N14">
        <v>0.995</v>
      </c>
      <c r="O14">
        <v>0.08</v>
      </c>
      <c r="P14">
        <f>1/400</f>
        <v>2.5000000000000001E-3</v>
      </c>
    </row>
    <row r="15" spans="1:16" x14ac:dyDescent="0.25">
      <c r="A15" t="s">
        <v>73</v>
      </c>
      <c r="B15" t="s">
        <v>74</v>
      </c>
      <c r="C15">
        <v>1</v>
      </c>
      <c r="D15" s="28">
        <v>0.1</v>
      </c>
      <c r="E15">
        <v>0</v>
      </c>
      <c r="F15">
        <v>0</v>
      </c>
      <c r="G15">
        <v>1.7000000000000001E-2</v>
      </c>
      <c r="H15">
        <v>1</v>
      </c>
      <c r="I15" s="27">
        <v>0.1</v>
      </c>
      <c r="J15">
        <v>0</v>
      </c>
      <c r="K15">
        <v>0</v>
      </c>
      <c r="L15">
        <v>1.7299999999999999E-2</v>
      </c>
      <c r="M15">
        <v>0.995</v>
      </c>
      <c r="N15">
        <v>0.995</v>
      </c>
      <c r="O15">
        <v>0.08</v>
      </c>
      <c r="P15">
        <f>1.5/400</f>
        <v>3.7499999999999999E-3</v>
      </c>
    </row>
    <row r="16" spans="1:16" x14ac:dyDescent="0.25">
      <c r="A16" t="s">
        <v>148</v>
      </c>
      <c r="B16" t="s">
        <v>149</v>
      </c>
      <c r="C16">
        <v>1</v>
      </c>
      <c r="D16" s="28">
        <v>0.1</v>
      </c>
      <c r="E16">
        <v>0</v>
      </c>
      <c r="F16">
        <v>0</v>
      </c>
      <c r="G16">
        <v>1.7000000000000001E-2</v>
      </c>
      <c r="H16">
        <v>1</v>
      </c>
      <c r="I16" s="27">
        <v>0.1</v>
      </c>
      <c r="J16">
        <v>0</v>
      </c>
      <c r="K16">
        <v>0</v>
      </c>
      <c r="L16">
        <v>1.7500000000000002E-2</v>
      </c>
      <c r="M16">
        <v>0.995</v>
      </c>
      <c r="N16">
        <v>0.995</v>
      </c>
      <c r="O16">
        <v>0.08</v>
      </c>
      <c r="P16">
        <f>1.5/400</f>
        <v>3.7499999999999999E-3</v>
      </c>
    </row>
    <row r="17" spans="1:16" x14ac:dyDescent="0.25">
      <c r="A17" t="s">
        <v>150</v>
      </c>
      <c r="B17" t="s">
        <v>151</v>
      </c>
      <c r="C17">
        <v>1</v>
      </c>
      <c r="D17">
        <v>0.1</v>
      </c>
      <c r="E17">
        <v>0</v>
      </c>
      <c r="F17">
        <v>0</v>
      </c>
      <c r="G17">
        <v>1.7500000000000002E-2</v>
      </c>
      <c r="H17">
        <v>1</v>
      </c>
      <c r="I17">
        <v>0.1</v>
      </c>
      <c r="J17">
        <v>0</v>
      </c>
      <c r="K17">
        <v>0</v>
      </c>
      <c r="L17">
        <v>1.7500000000000002E-2</v>
      </c>
      <c r="M17">
        <v>0.995</v>
      </c>
      <c r="N17">
        <v>0.995</v>
      </c>
      <c r="O17">
        <v>0.08</v>
      </c>
      <c r="P17">
        <v>3.7499999999999999E-3</v>
      </c>
    </row>
    <row r="18" spans="1:16" x14ac:dyDescent="0.25">
      <c r="A18" t="s">
        <v>152</v>
      </c>
      <c r="B18" t="s">
        <v>153</v>
      </c>
      <c r="C18">
        <v>1</v>
      </c>
      <c r="D18" s="28">
        <v>0.1</v>
      </c>
      <c r="E18">
        <v>0</v>
      </c>
      <c r="F18">
        <v>0</v>
      </c>
      <c r="G18">
        <v>1.7299999999999999E-2</v>
      </c>
      <c r="H18">
        <v>1</v>
      </c>
      <c r="I18" s="27">
        <v>0.1</v>
      </c>
      <c r="J18">
        <v>0</v>
      </c>
      <c r="K18">
        <v>0</v>
      </c>
      <c r="L18">
        <v>1.7299999999999999E-2</v>
      </c>
      <c r="M18">
        <v>0.995</v>
      </c>
      <c r="N18">
        <v>0.995</v>
      </c>
      <c r="O18">
        <v>0.08</v>
      </c>
      <c r="P18">
        <f>1.5/400</f>
        <v>3.7499999999999999E-3</v>
      </c>
    </row>
    <row r="19" spans="1:16" x14ac:dyDescent="0.25">
      <c r="A19" t="s">
        <v>154</v>
      </c>
      <c r="B19" t="s">
        <v>155</v>
      </c>
      <c r="C19">
        <v>1</v>
      </c>
      <c r="D19" s="28">
        <v>0.1</v>
      </c>
      <c r="E19">
        <v>0</v>
      </c>
      <c r="F19">
        <v>0</v>
      </c>
      <c r="G19">
        <v>1.2699999999999999E-2</v>
      </c>
      <c r="H19">
        <v>1</v>
      </c>
      <c r="I19" s="27">
        <v>0.1</v>
      </c>
      <c r="J19">
        <v>0</v>
      </c>
      <c r="K19">
        <v>0</v>
      </c>
      <c r="L19">
        <v>1.2699999999999999E-2</v>
      </c>
      <c r="M19">
        <v>0.995</v>
      </c>
      <c r="N19">
        <v>0.995</v>
      </c>
      <c r="O19">
        <v>5.21E-2</v>
      </c>
      <c r="P19">
        <v>3.8E-3</v>
      </c>
    </row>
    <row r="20" spans="1:16" x14ac:dyDescent="0.25">
      <c r="A20" t="s">
        <v>157</v>
      </c>
      <c r="B20" t="s">
        <v>158</v>
      </c>
      <c r="C20">
        <v>1</v>
      </c>
      <c r="D20" s="28">
        <v>0.05</v>
      </c>
      <c r="E20">
        <v>0</v>
      </c>
      <c r="F20">
        <v>0</v>
      </c>
      <c r="G20">
        <v>1.7299999999999999E-2</v>
      </c>
      <c r="H20">
        <v>1</v>
      </c>
      <c r="I20" s="28">
        <v>0.05</v>
      </c>
      <c r="J20">
        <v>0</v>
      </c>
      <c r="K20">
        <v>0</v>
      </c>
      <c r="L20">
        <v>1.7299999999999999E-2</v>
      </c>
      <c r="M20">
        <v>0.995</v>
      </c>
      <c r="N20">
        <v>0.995</v>
      </c>
      <c r="O20">
        <v>0.08</v>
      </c>
      <c r="P20">
        <f t="shared" ref="P20:P28" si="0">1.5/400</f>
        <v>3.7499999999999999E-3</v>
      </c>
    </row>
    <row r="21" spans="1:16" x14ac:dyDescent="0.25">
      <c r="A21" t="s">
        <v>159</v>
      </c>
      <c r="B21" t="s">
        <v>160</v>
      </c>
      <c r="C21">
        <v>1</v>
      </c>
      <c r="D21" s="28">
        <v>2.5000000000000001E-2</v>
      </c>
      <c r="E21">
        <v>0</v>
      </c>
      <c r="F21">
        <v>0</v>
      </c>
      <c r="G21">
        <v>1.7299999999999999E-2</v>
      </c>
      <c r="H21">
        <v>1</v>
      </c>
      <c r="I21" s="28">
        <v>2.5000000000000001E-2</v>
      </c>
      <c r="J21">
        <v>0</v>
      </c>
      <c r="K21">
        <v>0</v>
      </c>
      <c r="L21">
        <v>1.7299999999999999E-2</v>
      </c>
      <c r="M21">
        <v>0.995</v>
      </c>
      <c r="N21">
        <v>0.995</v>
      </c>
      <c r="O21">
        <v>0.08</v>
      </c>
      <c r="P21">
        <f t="shared" si="0"/>
        <v>3.7499999999999999E-3</v>
      </c>
    </row>
    <row r="22" spans="1:16" x14ac:dyDescent="0.25">
      <c r="A22" t="s">
        <v>161</v>
      </c>
      <c r="B22" t="s">
        <v>160</v>
      </c>
      <c r="C22">
        <v>1</v>
      </c>
      <c r="D22" s="28">
        <v>0.01</v>
      </c>
      <c r="E22">
        <v>0</v>
      </c>
      <c r="F22">
        <v>0</v>
      </c>
      <c r="G22">
        <v>1.7299999999999999E-2</v>
      </c>
      <c r="H22">
        <v>1</v>
      </c>
      <c r="I22" s="28">
        <v>0.01</v>
      </c>
      <c r="J22">
        <v>0</v>
      </c>
      <c r="K22">
        <v>0</v>
      </c>
      <c r="L22">
        <v>1.7299999999999999E-2</v>
      </c>
      <c r="M22">
        <v>0.995</v>
      </c>
      <c r="N22">
        <v>0.995</v>
      </c>
      <c r="O22">
        <v>0.08</v>
      </c>
      <c r="P22">
        <f t="shared" si="0"/>
        <v>3.7499999999999999E-3</v>
      </c>
    </row>
    <row r="23" spans="1:16" x14ac:dyDescent="0.25">
      <c r="A23" t="s">
        <v>162</v>
      </c>
      <c r="B23" t="s">
        <v>163</v>
      </c>
      <c r="C23">
        <v>1</v>
      </c>
      <c r="D23" s="39">
        <v>0.01</v>
      </c>
      <c r="E23">
        <v>0</v>
      </c>
      <c r="F23">
        <v>0</v>
      </c>
      <c r="G23" s="40">
        <v>0.05</v>
      </c>
      <c r="H23">
        <v>1</v>
      </c>
      <c r="I23" s="39">
        <v>0.01</v>
      </c>
      <c r="J23">
        <v>0</v>
      </c>
      <c r="K23">
        <v>0</v>
      </c>
      <c r="L23" s="40">
        <v>0.05</v>
      </c>
      <c r="M23">
        <v>0.995</v>
      </c>
      <c r="N23">
        <v>0.995</v>
      </c>
      <c r="O23">
        <v>0.08</v>
      </c>
      <c r="P23">
        <f t="shared" si="0"/>
        <v>3.7499999999999999E-3</v>
      </c>
    </row>
    <row r="24" spans="1:16" x14ac:dyDescent="0.25">
      <c r="A24" t="s">
        <v>164</v>
      </c>
      <c r="B24" t="s">
        <v>166</v>
      </c>
      <c r="C24">
        <v>1</v>
      </c>
      <c r="D24" s="39">
        <v>0.01</v>
      </c>
      <c r="E24">
        <v>0</v>
      </c>
      <c r="F24">
        <v>0</v>
      </c>
      <c r="G24" s="40">
        <v>0.1</v>
      </c>
      <c r="H24">
        <v>1</v>
      </c>
      <c r="I24" s="39">
        <v>0.01</v>
      </c>
      <c r="J24">
        <v>0</v>
      </c>
      <c r="K24">
        <v>0</v>
      </c>
      <c r="L24" s="40">
        <v>0.1</v>
      </c>
      <c r="M24">
        <v>0.995</v>
      </c>
      <c r="N24">
        <v>0.995</v>
      </c>
      <c r="O24">
        <v>0.08</v>
      </c>
      <c r="P24">
        <f t="shared" si="0"/>
        <v>3.7499999999999999E-3</v>
      </c>
    </row>
    <row r="25" spans="1:16" x14ac:dyDescent="0.25">
      <c r="A25" t="s">
        <v>165</v>
      </c>
      <c r="B25" t="s">
        <v>167</v>
      </c>
      <c r="C25">
        <v>1</v>
      </c>
      <c r="D25" s="39">
        <v>5.0000000000000001E-3</v>
      </c>
      <c r="E25">
        <v>0</v>
      </c>
      <c r="F25">
        <v>0</v>
      </c>
      <c r="G25" s="40">
        <v>0.2</v>
      </c>
      <c r="H25">
        <v>1</v>
      </c>
      <c r="I25" s="39">
        <v>5.0000000000000001E-3</v>
      </c>
      <c r="J25">
        <v>0</v>
      </c>
      <c r="K25">
        <v>0</v>
      </c>
      <c r="L25" s="40">
        <v>0.2</v>
      </c>
      <c r="M25">
        <v>0.995</v>
      </c>
      <c r="N25">
        <v>0.995</v>
      </c>
      <c r="O25">
        <v>0.08</v>
      </c>
      <c r="P25">
        <f t="shared" si="0"/>
        <v>3.7499999999999999E-3</v>
      </c>
    </row>
    <row r="26" spans="1:16" x14ac:dyDescent="0.25">
      <c r="A26" t="s">
        <v>168</v>
      </c>
      <c r="B26" t="s">
        <v>167</v>
      </c>
      <c r="C26">
        <v>1</v>
      </c>
      <c r="D26" s="39">
        <v>5.0000000000000001E-3</v>
      </c>
      <c r="E26">
        <v>0</v>
      </c>
      <c r="F26">
        <v>0</v>
      </c>
      <c r="G26" s="40">
        <v>0.4</v>
      </c>
      <c r="H26">
        <v>1</v>
      </c>
      <c r="I26" s="39">
        <v>5.0000000000000001E-3</v>
      </c>
      <c r="J26">
        <v>0</v>
      </c>
      <c r="K26">
        <v>0</v>
      </c>
      <c r="L26" s="40">
        <v>0.4</v>
      </c>
      <c r="M26">
        <v>0.995</v>
      </c>
      <c r="N26">
        <v>0.995</v>
      </c>
      <c r="O26">
        <v>0.08</v>
      </c>
      <c r="P26">
        <f t="shared" si="0"/>
        <v>3.7499999999999999E-3</v>
      </c>
    </row>
    <row r="27" spans="1:16" x14ac:dyDescent="0.25">
      <c r="A27" t="s">
        <v>170</v>
      </c>
      <c r="B27" t="s">
        <v>169</v>
      </c>
      <c r="C27">
        <v>1</v>
      </c>
      <c r="D27" s="28">
        <v>0.1</v>
      </c>
      <c r="E27">
        <v>0</v>
      </c>
      <c r="F27">
        <v>0</v>
      </c>
      <c r="G27">
        <v>1.7299999999999999E-2</v>
      </c>
      <c r="H27">
        <v>1</v>
      </c>
      <c r="I27" s="27">
        <v>0.1</v>
      </c>
      <c r="J27">
        <v>0</v>
      </c>
      <c r="K27">
        <v>0</v>
      </c>
      <c r="L27">
        <v>1.7299999999999999E-2</v>
      </c>
      <c r="M27">
        <v>0.995</v>
      </c>
      <c r="N27">
        <v>0.995</v>
      </c>
      <c r="O27">
        <v>2.5000000000000001E-2</v>
      </c>
      <c r="P27">
        <f>1.5/400</f>
        <v>3.7499999999999999E-3</v>
      </c>
    </row>
    <row r="28" spans="1:16" x14ac:dyDescent="0.25">
      <c r="A28" t="s">
        <v>171</v>
      </c>
      <c r="B28" t="s">
        <v>172</v>
      </c>
      <c r="C28">
        <v>1</v>
      </c>
      <c r="D28" s="28">
        <v>0.4</v>
      </c>
      <c r="E28">
        <v>0</v>
      </c>
      <c r="F28">
        <v>0</v>
      </c>
      <c r="G28">
        <v>1.7299999999999999E-2</v>
      </c>
      <c r="H28">
        <v>1</v>
      </c>
      <c r="I28" s="28">
        <v>0.4</v>
      </c>
      <c r="J28">
        <v>0</v>
      </c>
      <c r="K28">
        <v>0</v>
      </c>
      <c r="L28">
        <v>1.7299999999999999E-2</v>
      </c>
      <c r="M28">
        <v>0.995</v>
      </c>
      <c r="N28">
        <v>0.995</v>
      </c>
      <c r="O28">
        <v>0.08</v>
      </c>
      <c r="P28">
        <f t="shared" si="0"/>
        <v>3.7499999999999999E-3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Normal="100" workbookViewId="0">
      <selection activeCell="C10" sqref="C10"/>
    </sheetView>
  </sheetViews>
  <sheetFormatPr defaultRowHeight="15" x14ac:dyDescent="0.25"/>
  <cols>
    <col min="1" max="1025" width="8.7109375" customWidth="1"/>
  </cols>
  <sheetData>
    <row r="1" spans="1:6" x14ac:dyDescent="0.25">
      <c r="A1" t="s">
        <v>34</v>
      </c>
      <c r="B1" t="s">
        <v>75</v>
      </c>
      <c r="C1" s="25" t="s">
        <v>76</v>
      </c>
      <c r="D1" s="25" t="s">
        <v>77</v>
      </c>
      <c r="E1" t="s">
        <v>78</v>
      </c>
    </row>
    <row r="2" spans="1:6" x14ac:dyDescent="0.25">
      <c r="A2" t="s">
        <v>79</v>
      </c>
      <c r="B2" t="s">
        <v>80</v>
      </c>
      <c r="C2">
        <v>5.0000000000000001E-3</v>
      </c>
      <c r="D2">
        <v>5.0000000000000001E-3</v>
      </c>
      <c r="E2">
        <f>D2*400</f>
        <v>2</v>
      </c>
    </row>
    <row r="3" spans="1:6" x14ac:dyDescent="0.25">
      <c r="A3" t="s">
        <v>81</v>
      </c>
      <c r="B3" t="s">
        <v>80</v>
      </c>
      <c r="C3">
        <f>0.005/3</f>
        <v>1.6666666666666668E-3</v>
      </c>
      <c r="D3">
        <f>0.005/3</f>
        <v>1.6666666666666668E-3</v>
      </c>
      <c r="E3">
        <f>D3*400</f>
        <v>0.66666666666666674</v>
      </c>
    </row>
    <row r="4" spans="1:6" x14ac:dyDescent="0.25">
      <c r="A4" t="s">
        <v>82</v>
      </c>
      <c r="B4" t="s">
        <v>80</v>
      </c>
      <c r="C4">
        <f>E4/400</f>
        <v>3.4999999999999996E-3</v>
      </c>
      <c r="D4">
        <f>E4/400</f>
        <v>3.4999999999999996E-3</v>
      </c>
      <c r="E4">
        <v>1.4</v>
      </c>
    </row>
    <row r="5" spans="1:6" x14ac:dyDescent="0.25">
      <c r="A5" t="s">
        <v>83</v>
      </c>
      <c r="B5" t="s">
        <v>80</v>
      </c>
      <c r="C5">
        <f>E5/400</f>
        <v>2.5000000000000001E-3</v>
      </c>
      <c r="D5">
        <f>E5/400</f>
        <v>2.5000000000000001E-3</v>
      </c>
      <c r="E5">
        <v>1</v>
      </c>
    </row>
    <row r="6" spans="1:6" x14ac:dyDescent="0.25">
      <c r="A6" t="s">
        <v>84</v>
      </c>
      <c r="B6" t="s">
        <v>80</v>
      </c>
      <c r="C6">
        <f>E6/400</f>
        <v>3.0000000000000001E-3</v>
      </c>
      <c r="D6">
        <f>E6/400</f>
        <v>3.0000000000000001E-3</v>
      </c>
      <c r="E6">
        <v>1.2</v>
      </c>
    </row>
    <row r="7" spans="1:6" x14ac:dyDescent="0.25">
      <c r="A7" t="s">
        <v>85</v>
      </c>
      <c r="B7" t="s">
        <v>80</v>
      </c>
      <c r="C7">
        <v>1.75E-3</v>
      </c>
      <c r="D7">
        <f>E7/400</f>
        <v>3.0000000000000001E-3</v>
      </c>
      <c r="E7">
        <v>1.2</v>
      </c>
      <c r="F7">
        <v>0.7</v>
      </c>
    </row>
    <row r="8" spans="1:6" x14ac:dyDescent="0.25">
      <c r="A8" t="s">
        <v>86</v>
      </c>
      <c r="B8" t="s">
        <v>80</v>
      </c>
      <c r="C8">
        <f>F8/400</f>
        <v>2.5000000000000001E-3</v>
      </c>
      <c r="D8">
        <f>E8/400</f>
        <v>3.0000000000000001E-3</v>
      </c>
      <c r="E8">
        <v>1.2</v>
      </c>
      <c r="F8">
        <v>1</v>
      </c>
    </row>
    <row r="9" spans="1:6" x14ac:dyDescent="0.25">
      <c r="A9" t="s">
        <v>173</v>
      </c>
      <c r="B9" t="s">
        <v>80</v>
      </c>
      <c r="C9">
        <f>E9/400</f>
        <v>1.5E-3</v>
      </c>
      <c r="D9">
        <f>E9/400</f>
        <v>1.5E-3</v>
      </c>
      <c r="E9">
        <v>0.6</v>
      </c>
    </row>
    <row r="10" spans="1:6" x14ac:dyDescent="0.25">
      <c r="A10" t="s">
        <v>174</v>
      </c>
      <c r="B10" t="s">
        <v>80</v>
      </c>
      <c r="C10">
        <f>E10/400</f>
        <v>6.0000000000000001E-3</v>
      </c>
      <c r="D10">
        <f>E10/400</f>
        <v>6.0000000000000001E-3</v>
      </c>
      <c r="E10">
        <v>2.4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Normal="100" workbookViewId="0">
      <selection activeCell="G14" sqref="G14"/>
    </sheetView>
  </sheetViews>
  <sheetFormatPr defaultRowHeight="15" x14ac:dyDescent="0.25"/>
  <cols>
    <col min="1" max="1" width="8.7109375" customWidth="1"/>
    <col min="2" max="2" width="14.140625" customWidth="1"/>
    <col min="3" max="3" width="17.7109375" customWidth="1"/>
    <col min="4" max="4" width="13.5703125" customWidth="1"/>
    <col min="5" max="1025" width="8.7109375" customWidth="1"/>
  </cols>
  <sheetData>
    <row r="1" spans="1:7" x14ac:dyDescent="0.25">
      <c r="A1" t="s">
        <v>34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 x14ac:dyDescent="0.25">
      <c r="A2" t="s">
        <v>26</v>
      </c>
      <c r="B2" t="s">
        <v>93</v>
      </c>
      <c r="D2">
        <v>0.01</v>
      </c>
      <c r="E2">
        <v>0.5</v>
      </c>
      <c r="F2">
        <v>0.05</v>
      </c>
      <c r="G2">
        <v>0</v>
      </c>
    </row>
    <row r="3" spans="1:7" x14ac:dyDescent="0.25">
      <c r="A3" t="s">
        <v>94</v>
      </c>
      <c r="B3" t="s">
        <v>93</v>
      </c>
      <c r="D3">
        <v>0.01</v>
      </c>
      <c r="E3">
        <v>0.8</v>
      </c>
      <c r="F3">
        <v>0.05</v>
      </c>
      <c r="G3">
        <v>0</v>
      </c>
    </row>
    <row r="4" spans="1:7" x14ac:dyDescent="0.25">
      <c r="A4" t="s">
        <v>95</v>
      </c>
      <c r="B4" t="s">
        <v>93</v>
      </c>
      <c r="D4" s="30">
        <v>0.01</v>
      </c>
      <c r="E4">
        <v>0.8</v>
      </c>
      <c r="F4">
        <v>0.03</v>
      </c>
      <c r="G4">
        <v>0</v>
      </c>
    </row>
    <row r="5" spans="1:7" x14ac:dyDescent="0.25">
      <c r="A5" t="s">
        <v>96</v>
      </c>
      <c r="B5" t="s">
        <v>93</v>
      </c>
      <c r="D5" s="30">
        <v>0.01</v>
      </c>
      <c r="E5">
        <v>0.9</v>
      </c>
      <c r="F5">
        <v>0.03</v>
      </c>
      <c r="G5">
        <v>0</v>
      </c>
    </row>
    <row r="6" spans="1:7" x14ac:dyDescent="0.25">
      <c r="A6" t="s">
        <v>97</v>
      </c>
      <c r="B6" t="s">
        <v>93</v>
      </c>
      <c r="D6" s="30">
        <v>0.01</v>
      </c>
      <c r="E6">
        <v>0.9</v>
      </c>
      <c r="F6">
        <v>0.03</v>
      </c>
      <c r="G6">
        <v>0.25</v>
      </c>
    </row>
    <row r="7" spans="1:7" x14ac:dyDescent="0.25">
      <c r="A7" t="s">
        <v>98</v>
      </c>
      <c r="B7" t="s">
        <v>93</v>
      </c>
      <c r="D7" s="30">
        <v>0.01</v>
      </c>
      <c r="E7">
        <v>0.9</v>
      </c>
      <c r="F7">
        <v>0.01</v>
      </c>
      <c r="G7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zoomScaleNormal="100" workbookViewId="0">
      <selection activeCell="D7" sqref="D7"/>
    </sheetView>
  </sheetViews>
  <sheetFormatPr defaultRowHeight="15" x14ac:dyDescent="0.25"/>
  <cols>
    <col min="1" max="1025" width="8.7109375" customWidth="1"/>
  </cols>
  <sheetData>
    <row r="1" spans="1:4" x14ac:dyDescent="0.25">
      <c r="A1" t="s">
        <v>34</v>
      </c>
      <c r="B1" t="s">
        <v>99</v>
      </c>
      <c r="C1" t="s">
        <v>100</v>
      </c>
      <c r="D1" t="s">
        <v>101</v>
      </c>
    </row>
    <row r="2" spans="1:4" x14ac:dyDescent="0.25">
      <c r="A2" t="s">
        <v>102</v>
      </c>
      <c r="B2">
        <v>1</v>
      </c>
      <c r="C2">
        <v>0</v>
      </c>
      <c r="D2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C2"/>
  <sheetViews>
    <sheetView zoomScaleNormal="100" workbookViewId="0">
      <selection activeCell="C3" sqref="C3"/>
    </sheetView>
  </sheetViews>
  <sheetFormatPr defaultRowHeight="15" x14ac:dyDescent="0.25"/>
  <cols>
    <col min="1" max="1025" width="8.7109375" customWidth="1"/>
  </cols>
  <sheetData>
    <row r="1" spans="3:3" x14ac:dyDescent="0.25">
      <c r="C1" s="25" t="s">
        <v>103</v>
      </c>
    </row>
    <row r="2" spans="3:3" x14ac:dyDescent="0.25">
      <c r="C2">
        <v>2.5000000000000001E-3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zoomScaleNormal="100" workbookViewId="0">
      <selection activeCell="E6" sqref="E6"/>
    </sheetView>
  </sheetViews>
  <sheetFormatPr defaultRowHeight="15" x14ac:dyDescent="0.25"/>
  <cols>
    <col min="1" max="1" width="8.7109375" customWidth="1"/>
    <col min="2" max="4" width="15.140625" customWidth="1"/>
    <col min="5" max="5" width="17.7109375" customWidth="1"/>
    <col min="6" max="1025" width="8.7109375" customWidth="1"/>
  </cols>
  <sheetData>
    <row r="1" spans="1:5" x14ac:dyDescent="0.25">
      <c r="A1" t="s">
        <v>34</v>
      </c>
      <c r="B1" s="25" t="s">
        <v>104</v>
      </c>
      <c r="C1" s="25" t="s">
        <v>105</v>
      </c>
      <c r="D1" t="s">
        <v>106</v>
      </c>
      <c r="E1" t="s">
        <v>107</v>
      </c>
    </row>
    <row r="2" spans="1:5" x14ac:dyDescent="0.25">
      <c r="A2" t="s">
        <v>29</v>
      </c>
      <c r="B2">
        <v>1</v>
      </c>
      <c r="C2">
        <v>20</v>
      </c>
      <c r="D2" t="s">
        <v>108</v>
      </c>
      <c r="E2" t="s">
        <v>108</v>
      </c>
    </row>
    <row r="3" spans="1:5" x14ac:dyDescent="0.25">
      <c r="A3" t="s">
        <v>109</v>
      </c>
      <c r="B3">
        <v>3</v>
      </c>
      <c r="C3">
        <v>50</v>
      </c>
      <c r="D3" t="s">
        <v>108</v>
      </c>
      <c r="E3" t="s">
        <v>108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8"/>
  <sheetViews>
    <sheetView zoomScaleNormal="100" workbookViewId="0">
      <selection activeCell="A5" sqref="A5:XFD5"/>
    </sheetView>
  </sheetViews>
  <sheetFormatPr defaultRowHeight="15" x14ac:dyDescent="0.25"/>
  <cols>
    <col min="1" max="7" width="8.7109375" customWidth="1"/>
    <col min="8" max="8" width="11.42578125"/>
    <col min="9" max="13" width="8.7109375" customWidth="1"/>
    <col min="14" max="14" width="11" customWidth="1"/>
    <col min="15" max="1025" width="8.7109375" customWidth="1"/>
  </cols>
  <sheetData>
    <row r="1" spans="1:18" x14ac:dyDescent="0.25">
      <c r="A1" t="s">
        <v>34</v>
      </c>
      <c r="B1" s="25" t="s">
        <v>110</v>
      </c>
      <c r="C1" s="25" t="s">
        <v>111</v>
      </c>
      <c r="D1" s="25" t="s">
        <v>112</v>
      </c>
      <c r="E1" s="25" t="s">
        <v>113</v>
      </c>
      <c r="F1" s="25" t="s">
        <v>114</v>
      </c>
      <c r="G1" s="25" t="s">
        <v>115</v>
      </c>
      <c r="H1" t="s">
        <v>116</v>
      </c>
      <c r="I1" s="25" t="s">
        <v>117</v>
      </c>
      <c r="J1" s="25" t="s">
        <v>118</v>
      </c>
      <c r="K1" s="25" t="s">
        <v>119</v>
      </c>
      <c r="L1" s="25" t="s">
        <v>120</v>
      </c>
      <c r="M1" t="s">
        <v>121</v>
      </c>
      <c r="N1" t="s">
        <v>122</v>
      </c>
      <c r="O1" s="25" t="s">
        <v>123</v>
      </c>
      <c r="P1" s="25" t="s">
        <v>124</v>
      </c>
      <c r="Q1" s="25" t="s">
        <v>125</v>
      </c>
      <c r="R1" s="25" t="s">
        <v>126</v>
      </c>
    </row>
    <row r="2" spans="1:18" x14ac:dyDescent="0.25">
      <c r="A2" t="s">
        <v>30</v>
      </c>
      <c r="B2">
        <v>3</v>
      </c>
      <c r="C2">
        <v>0.9</v>
      </c>
      <c r="D2">
        <v>5.0000000000000001E-3</v>
      </c>
      <c r="E2" t="s">
        <v>127</v>
      </c>
      <c r="F2">
        <v>11</v>
      </c>
      <c r="H2" t="s">
        <v>128</v>
      </c>
      <c r="J2">
        <v>0.05</v>
      </c>
      <c r="K2">
        <v>-0.15</v>
      </c>
      <c r="L2">
        <v>1E-3</v>
      </c>
      <c r="O2">
        <v>501</v>
      </c>
      <c r="P2">
        <v>2.75</v>
      </c>
      <c r="Q2">
        <v>51</v>
      </c>
      <c r="R2">
        <v>3</v>
      </c>
    </row>
    <row r="3" spans="1:18" x14ac:dyDescent="0.25">
      <c r="A3" t="s">
        <v>129</v>
      </c>
      <c r="B3">
        <v>3</v>
      </c>
      <c r="C3">
        <v>0.9</v>
      </c>
      <c r="D3">
        <v>5.0000000000000001E-3</v>
      </c>
      <c r="E3" t="s">
        <v>127</v>
      </c>
      <c r="F3">
        <v>11</v>
      </c>
      <c r="H3" t="s">
        <v>130</v>
      </c>
      <c r="J3">
        <v>0.05</v>
      </c>
      <c r="K3">
        <v>-0.15</v>
      </c>
      <c r="L3">
        <v>1E-3</v>
      </c>
      <c r="O3">
        <v>501</v>
      </c>
      <c r="P3">
        <v>2.75</v>
      </c>
      <c r="Q3">
        <v>51</v>
      </c>
      <c r="R3">
        <v>3</v>
      </c>
    </row>
    <row r="4" spans="1:18" x14ac:dyDescent="0.25">
      <c r="A4" t="s">
        <v>131</v>
      </c>
      <c r="B4">
        <v>3</v>
      </c>
      <c r="C4">
        <v>0.9</v>
      </c>
      <c r="D4">
        <v>5.0000000000000001E-3</v>
      </c>
      <c r="E4" t="s">
        <v>127</v>
      </c>
      <c r="F4">
        <v>21</v>
      </c>
      <c r="H4" t="s">
        <v>128</v>
      </c>
      <c r="J4">
        <v>0.05</v>
      </c>
      <c r="K4">
        <v>-0.15</v>
      </c>
      <c r="L4">
        <v>1E-3</v>
      </c>
      <c r="O4">
        <v>501</v>
      </c>
      <c r="P4">
        <v>2.75</v>
      </c>
      <c r="Q4">
        <v>51</v>
      </c>
      <c r="R4">
        <v>3</v>
      </c>
    </row>
    <row r="5" spans="1:18" x14ac:dyDescent="0.25">
      <c r="A5" t="s">
        <v>132</v>
      </c>
      <c r="B5">
        <v>3</v>
      </c>
      <c r="C5">
        <v>0.9</v>
      </c>
      <c r="D5">
        <v>5.0000000000000001E-3</v>
      </c>
      <c r="E5" t="s">
        <v>133</v>
      </c>
      <c r="F5">
        <v>21</v>
      </c>
      <c r="H5" t="s">
        <v>128</v>
      </c>
      <c r="J5">
        <v>0.05</v>
      </c>
      <c r="K5">
        <v>-0.15</v>
      </c>
      <c r="L5">
        <v>1E-3</v>
      </c>
      <c r="O5">
        <v>501</v>
      </c>
      <c r="P5">
        <v>2.75</v>
      </c>
      <c r="Q5">
        <v>51</v>
      </c>
      <c r="R5">
        <v>3</v>
      </c>
    </row>
    <row r="6" spans="1:18" x14ac:dyDescent="0.25">
      <c r="A6" t="s">
        <v>134</v>
      </c>
      <c r="B6">
        <v>3</v>
      </c>
      <c r="C6">
        <v>0.9</v>
      </c>
      <c r="D6">
        <v>5.0000000000000001E-3</v>
      </c>
      <c r="E6" t="s">
        <v>133</v>
      </c>
      <c r="F6">
        <v>21</v>
      </c>
      <c r="H6" t="s">
        <v>128</v>
      </c>
      <c r="J6">
        <v>0.05</v>
      </c>
      <c r="K6">
        <v>-0.15</v>
      </c>
      <c r="L6">
        <v>1E-3</v>
      </c>
      <c r="O6">
        <v>501</v>
      </c>
      <c r="P6">
        <v>6</v>
      </c>
      <c r="Q6">
        <v>51</v>
      </c>
      <c r="R6">
        <v>3</v>
      </c>
    </row>
    <row r="7" spans="1:18" x14ac:dyDescent="0.25">
      <c r="A7" t="s">
        <v>135</v>
      </c>
      <c r="B7">
        <v>3</v>
      </c>
      <c r="C7" s="1">
        <v>0</v>
      </c>
      <c r="D7">
        <v>5.0000000000000001E-3</v>
      </c>
      <c r="E7" t="s">
        <v>133</v>
      </c>
      <c r="F7">
        <v>21</v>
      </c>
      <c r="H7" t="s">
        <v>128</v>
      </c>
      <c r="J7">
        <v>0.05</v>
      </c>
      <c r="K7">
        <v>-0.15</v>
      </c>
      <c r="L7">
        <v>1E-3</v>
      </c>
      <c r="O7">
        <v>501</v>
      </c>
      <c r="P7">
        <v>2.75</v>
      </c>
      <c r="Q7">
        <v>51</v>
      </c>
      <c r="R7">
        <v>3</v>
      </c>
    </row>
    <row r="8" spans="1:18" x14ac:dyDescent="0.25">
      <c r="A8" t="s">
        <v>136</v>
      </c>
      <c r="B8">
        <v>3</v>
      </c>
      <c r="C8" s="1">
        <v>0</v>
      </c>
      <c r="D8">
        <v>5.0000000000000001E-3</v>
      </c>
      <c r="E8" t="s">
        <v>133</v>
      </c>
      <c r="F8">
        <v>21</v>
      </c>
      <c r="H8" t="s">
        <v>128</v>
      </c>
      <c r="J8">
        <v>0.05</v>
      </c>
      <c r="K8">
        <v>-0.15</v>
      </c>
      <c r="L8">
        <v>1E-3</v>
      </c>
      <c r="O8">
        <v>501</v>
      </c>
      <c r="P8">
        <v>6</v>
      </c>
      <c r="Q8">
        <v>51</v>
      </c>
      <c r="R8">
        <v>3</v>
      </c>
    </row>
    <row r="9" spans="1:18" x14ac:dyDescent="0.25">
      <c r="A9" t="s">
        <v>137</v>
      </c>
      <c r="B9">
        <v>3</v>
      </c>
      <c r="C9" s="1">
        <v>0.2</v>
      </c>
      <c r="D9">
        <v>5.0000000000000001E-3</v>
      </c>
      <c r="E9" t="s">
        <v>133</v>
      </c>
      <c r="F9">
        <v>21</v>
      </c>
      <c r="H9" t="s">
        <v>128</v>
      </c>
      <c r="J9">
        <v>0.05</v>
      </c>
      <c r="K9">
        <v>-0.15</v>
      </c>
      <c r="L9">
        <v>1E-3</v>
      </c>
      <c r="O9">
        <v>501</v>
      </c>
      <c r="P9">
        <v>6</v>
      </c>
      <c r="Q9">
        <v>51</v>
      </c>
      <c r="R9">
        <v>3</v>
      </c>
    </row>
    <row r="10" spans="1:18" x14ac:dyDescent="0.25">
      <c r="A10" t="s">
        <v>138</v>
      </c>
      <c r="B10">
        <v>3</v>
      </c>
      <c r="C10" s="1">
        <v>0.4</v>
      </c>
      <c r="D10">
        <v>5.0000000000000001E-3</v>
      </c>
      <c r="E10" t="s">
        <v>133</v>
      </c>
      <c r="F10">
        <v>21</v>
      </c>
      <c r="H10" t="s">
        <v>128</v>
      </c>
      <c r="J10">
        <v>0.05</v>
      </c>
      <c r="K10">
        <v>-0.15</v>
      </c>
      <c r="L10">
        <v>1E-3</v>
      </c>
      <c r="O10">
        <v>501</v>
      </c>
      <c r="P10">
        <v>6</v>
      </c>
      <c r="Q10">
        <v>51</v>
      </c>
      <c r="R10">
        <v>3</v>
      </c>
    </row>
    <row r="11" spans="1:18" x14ac:dyDescent="0.25">
      <c r="A11" t="s">
        <v>139</v>
      </c>
      <c r="B11">
        <v>3</v>
      </c>
      <c r="C11" s="1">
        <v>0.7</v>
      </c>
      <c r="D11">
        <v>5.0000000000000001E-3</v>
      </c>
      <c r="E11" t="s">
        <v>133</v>
      </c>
      <c r="F11">
        <v>21</v>
      </c>
      <c r="H11" t="s">
        <v>128</v>
      </c>
      <c r="J11">
        <v>0.05</v>
      </c>
      <c r="K11">
        <v>-0.15</v>
      </c>
      <c r="L11">
        <v>1E-3</v>
      </c>
      <c r="O11">
        <v>501</v>
      </c>
      <c r="P11">
        <v>6</v>
      </c>
      <c r="Q11">
        <v>51</v>
      </c>
      <c r="R11">
        <v>3</v>
      </c>
    </row>
    <row r="12" spans="1:18" x14ac:dyDescent="0.25">
      <c r="A12" t="s">
        <v>140</v>
      </c>
      <c r="B12">
        <v>3</v>
      </c>
      <c r="C12" s="1">
        <v>0.6</v>
      </c>
      <c r="D12">
        <v>5.0000000000000001E-3</v>
      </c>
      <c r="E12" t="s">
        <v>133</v>
      </c>
      <c r="F12">
        <v>21</v>
      </c>
      <c r="H12" t="s">
        <v>128</v>
      </c>
      <c r="J12">
        <v>0.05</v>
      </c>
      <c r="K12">
        <v>-0.15</v>
      </c>
      <c r="L12">
        <v>1E-3</v>
      </c>
      <c r="O12">
        <v>501</v>
      </c>
      <c r="P12">
        <v>6</v>
      </c>
      <c r="Q12">
        <v>51</v>
      </c>
      <c r="R12">
        <v>3</v>
      </c>
    </row>
    <row r="13" spans="1:18" x14ac:dyDescent="0.25">
      <c r="A13" t="s">
        <v>141</v>
      </c>
      <c r="B13">
        <v>3</v>
      </c>
      <c r="C13" s="1">
        <v>0.5</v>
      </c>
      <c r="D13">
        <v>5.0000000000000001E-3</v>
      </c>
      <c r="E13" t="s">
        <v>133</v>
      </c>
      <c r="F13">
        <v>21</v>
      </c>
      <c r="H13" t="s">
        <v>128</v>
      </c>
      <c r="J13">
        <v>0.05</v>
      </c>
      <c r="K13">
        <v>-0.15</v>
      </c>
      <c r="L13">
        <v>1E-3</v>
      </c>
      <c r="O13">
        <v>501</v>
      </c>
      <c r="P13">
        <v>6</v>
      </c>
      <c r="Q13">
        <v>51</v>
      </c>
      <c r="R13">
        <v>3</v>
      </c>
    </row>
    <row r="14" spans="1:18" x14ac:dyDescent="0.25">
      <c r="A14" t="s">
        <v>142</v>
      </c>
      <c r="B14">
        <v>3</v>
      </c>
      <c r="C14" s="1">
        <v>0.7</v>
      </c>
      <c r="D14">
        <v>1.75E-3</v>
      </c>
      <c r="E14" t="s">
        <v>133</v>
      </c>
      <c r="F14">
        <v>21</v>
      </c>
      <c r="H14" t="s">
        <v>128</v>
      </c>
      <c r="J14">
        <v>0.05</v>
      </c>
      <c r="K14">
        <v>-0.15</v>
      </c>
      <c r="L14">
        <v>1E-3</v>
      </c>
      <c r="O14">
        <v>501</v>
      </c>
      <c r="P14">
        <v>6</v>
      </c>
      <c r="Q14">
        <v>51</v>
      </c>
      <c r="R14">
        <v>3</v>
      </c>
    </row>
    <row r="15" spans="1:18" x14ac:dyDescent="0.25">
      <c r="A15" t="s">
        <v>143</v>
      </c>
      <c r="B15">
        <v>3</v>
      </c>
      <c r="C15" s="1">
        <v>0.7</v>
      </c>
      <c r="D15">
        <v>1.47E-3</v>
      </c>
      <c r="E15" t="s">
        <v>133</v>
      </c>
      <c r="F15">
        <v>21</v>
      </c>
      <c r="H15" t="s">
        <v>128</v>
      </c>
      <c r="J15">
        <v>0.05</v>
      </c>
      <c r="K15">
        <v>-0.15</v>
      </c>
      <c r="L15">
        <v>1E-3</v>
      </c>
      <c r="O15">
        <v>501</v>
      </c>
      <c r="P15">
        <v>6</v>
      </c>
      <c r="Q15">
        <v>51</v>
      </c>
      <c r="R15">
        <v>3</v>
      </c>
    </row>
    <row r="16" spans="1:18" x14ac:dyDescent="0.25">
      <c r="A16" t="s">
        <v>144</v>
      </c>
      <c r="B16">
        <v>5</v>
      </c>
      <c r="C16" s="1">
        <v>0.7</v>
      </c>
      <c r="D16">
        <v>1.75E-3</v>
      </c>
      <c r="E16" t="s">
        <v>133</v>
      </c>
      <c r="F16">
        <v>21</v>
      </c>
      <c r="H16" t="s">
        <v>128</v>
      </c>
      <c r="J16">
        <v>0.05</v>
      </c>
      <c r="K16">
        <v>-0.15</v>
      </c>
      <c r="L16">
        <v>1E-3</v>
      </c>
      <c r="O16">
        <v>501</v>
      </c>
      <c r="P16">
        <v>6</v>
      </c>
      <c r="Q16">
        <v>51</v>
      </c>
      <c r="R16">
        <v>3</v>
      </c>
    </row>
    <row r="17" spans="1:18" x14ac:dyDescent="0.25">
      <c r="A17" t="s">
        <v>156</v>
      </c>
      <c r="B17">
        <v>7</v>
      </c>
      <c r="C17" s="1">
        <v>0.7</v>
      </c>
      <c r="D17">
        <v>1.75E-3</v>
      </c>
      <c r="E17" t="s">
        <v>133</v>
      </c>
      <c r="F17">
        <v>21</v>
      </c>
      <c r="H17" t="s">
        <v>128</v>
      </c>
      <c r="J17">
        <v>0.05</v>
      </c>
      <c r="K17">
        <v>-0.15</v>
      </c>
      <c r="L17">
        <v>5.0000000000000001E-3</v>
      </c>
      <c r="O17">
        <v>501</v>
      </c>
      <c r="P17">
        <v>6</v>
      </c>
      <c r="Q17">
        <v>51</v>
      </c>
      <c r="R17">
        <v>3</v>
      </c>
    </row>
    <row r="18" spans="1:18" x14ac:dyDescent="0.25">
      <c r="C18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zoomScaleNormal="100" workbookViewId="0">
      <selection activeCell="B1" sqref="B1"/>
    </sheetView>
  </sheetViews>
  <sheetFormatPr defaultRowHeight="15" x14ac:dyDescent="0.25"/>
  <cols>
    <col min="1" max="1025" width="8.7109375" customWidth="1"/>
  </cols>
  <sheetData>
    <row r="1" spans="1:2" x14ac:dyDescent="0.25">
      <c r="A1" t="s">
        <v>34</v>
      </c>
      <c r="B1" t="s">
        <v>145</v>
      </c>
    </row>
    <row r="2" spans="1:2" x14ac:dyDescent="0.25">
      <c r="A2" t="s">
        <v>31</v>
      </c>
      <c r="B2">
        <v>0</v>
      </c>
    </row>
    <row r="3" spans="1:2" x14ac:dyDescent="0.25">
      <c r="A3" t="s">
        <v>146</v>
      </c>
      <c r="B3"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3" zoomScaleNormal="100" workbookViewId="0">
      <selection activeCell="L23" sqref="L23"/>
    </sheetView>
  </sheetViews>
  <sheetFormatPr defaultRowHeight="15" x14ac:dyDescent="0.25"/>
  <cols>
    <col min="1" max="1025" width="8.71093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workbookViewId="0">
      <selection activeCell="A21" sqref="A21"/>
    </sheetView>
  </sheetViews>
  <sheetFormatPr defaultRowHeight="15" x14ac:dyDescent="0.25"/>
  <cols>
    <col min="1" max="1025" width="8.7109375" customWidth="1"/>
  </cols>
  <sheetData>
    <row r="1" spans="1:2" x14ac:dyDescent="0.25">
      <c r="A1" t="s">
        <v>34</v>
      </c>
      <c r="B1" t="s">
        <v>147</v>
      </c>
    </row>
    <row r="2" spans="1:2" x14ac:dyDescent="0.25">
      <c r="A2" t="s">
        <v>33</v>
      </c>
      <c r="B2"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RUN_info</vt:lpstr>
      <vt:lpstr>NK_params</vt:lpstr>
      <vt:lpstr>Shocks</vt:lpstr>
      <vt:lpstr>Replacement</vt:lpstr>
      <vt:lpstr>Loadings</vt:lpstr>
      <vt:lpstr>StartUp</vt:lpstr>
      <vt:lpstr>Loops</vt:lpstr>
      <vt:lpstr>Grids</vt:lpstr>
      <vt:lpstr>Accelerate</vt:lpstr>
      <vt:lpstr>Tuning</vt:lpstr>
      <vt:lpstr>File_Storage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Yang LU</cp:lastModifiedBy>
  <cp:revision>12</cp:revision>
  <dcterms:created xsi:type="dcterms:W3CDTF">2021-01-02T13:29:44Z</dcterms:created>
  <dcterms:modified xsi:type="dcterms:W3CDTF">2026-07-03T05:34:56Z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Boston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